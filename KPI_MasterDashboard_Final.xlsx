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Scores" sheetId="1" state="visible" r:id="rId3"/>
    <sheet name="Attendance" sheetId="2" state="visible" r:id="rId4"/>
    <sheet name="Tenure" sheetId="3" state="visible" r:id="rId5"/>
  </sheets>
  <definedNames>
    <definedName function="false" hidden="false" localSheetId="1" name="_xlnm.Print_Titles" vbProcedure="false">Attendance!$1:$2</definedName>
    <definedName function="false" hidden="true" localSheetId="1" name="_xlnm._FilterDatabase" vbProcedure="false">Attendance!$A$2:$BS$2</definedName>
    <definedName function="false" hidden="false" localSheetId="0" name="_xlnm.Print_Titles" vbProcedure="false">'KPI Scores'!$1:$2</definedName>
    <definedName function="false" hidden="true" localSheetId="0" name="_xlnm._FilterDatabase" vbProcedure="false">'KPI Scores'!$A$2:$AO$2</definedName>
    <definedName function="false" hidden="false" localSheetId="2" name="_xlnm.Print_Titles" vbProcedure="false">Tenure!$1:$2</definedName>
    <definedName function="false" hidden="true" localSheetId="2" name="_xlnm._FilterDatabase" vbProcedure="false">Tenure!$A$2:$I$2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A23" authorId="0">
      <text>
        <r>
          <rPr>
            <sz val="10"/>
            <rFont val="Arial"/>
            <family val="2"/>
          </rPr>
          <t xml:space="preserve">logged out without notice
</t>
        </r>
      </text>
    </comment>
    <comment ref="AB27" authorId="0">
      <text>
        <r>
          <rPr>
            <sz val="10"/>
            <rFont val="Arial"/>
            <family val="2"/>
          </rPr>
          <t xml:space="preserve">Laptop out of order
</t>
        </r>
      </text>
    </comment>
    <comment ref="AC26" authorId="0">
      <text>
        <r>
          <rPr>
            <sz val="10"/>
            <rFont val="Arial"/>
            <family val="2"/>
          </rPr>
          <t xml:space="preserve">Due to illness
</t>
        </r>
      </text>
    </comment>
    <comment ref="AF10" authorId="0">
      <text>
        <r>
          <rPr>
            <sz val="10"/>
            <rFont val="Arial"/>
            <family val="2"/>
          </rPr>
          <t xml:space="preserve">Due to wife medical condition
</t>
        </r>
      </text>
    </comment>
    <comment ref="AF14" authorId="0">
      <text>
        <r>
          <rPr>
            <sz val="10"/>
            <rFont val="Arial"/>
            <family val="2"/>
          </rPr>
          <t xml:space="preserve">approved by Sanchit sir
</t>
        </r>
      </text>
    </comment>
    <comment ref="AF18" authorId="0">
      <text>
        <r>
          <rPr>
            <sz val="10"/>
            <rFont val="Arial"/>
            <family val="2"/>
          </rPr>
          <t xml:space="preserve">not well ask to submit medical prescription
</t>
        </r>
      </text>
    </comment>
    <comment ref="AF21" authorId="0">
      <text>
        <r>
          <rPr>
            <sz val="10"/>
            <rFont val="Arial"/>
            <family val="2"/>
          </rPr>
          <t xml:space="preserve">logout 10:24am court emergency
</t>
        </r>
      </text>
    </comment>
    <comment ref="AG15" authorId="0">
      <text>
        <r>
          <rPr>
            <sz val="10"/>
            <rFont val="Arial"/>
            <family val="2"/>
          </rPr>
          <t xml:space="preserve">Late log in
</t>
        </r>
      </text>
    </comment>
    <comment ref="AH6" authorId="0">
      <text>
        <r>
          <rPr>
            <sz val="10"/>
            <rFont val="Arial"/>
            <family val="2"/>
          </rPr>
          <t xml:space="preserve">some urgent registry work
</t>
        </r>
      </text>
    </comment>
    <comment ref="AI36" authorId="0">
      <text>
        <r>
          <rPr>
            <sz val="10"/>
            <rFont val="Arial"/>
            <family val="2"/>
          </rPr>
          <t xml:space="preserve">comment:
Logged out by 6:30 without approval.</t>
        </r>
      </text>
    </comment>
    <comment ref="AK4" authorId="0">
      <text>
        <r>
          <rPr>
            <sz val="10"/>
            <rFont val="Arial"/>
            <family val="2"/>
          </rPr>
          <t xml:space="preserve">not informed to me after message by other cre informing that his system is broken 
so marked as unplanned
</t>
        </r>
      </text>
    </comment>
    <comment ref="AM13" authorId="0">
      <text>
        <r>
          <rPr>
            <sz val="10"/>
            <rFont val="Arial"/>
            <family val="2"/>
          </rPr>
          <t xml:space="preserve">College certificate
</t>
        </r>
      </text>
    </comment>
    <comment ref="AN10" authorId="0">
      <text>
        <r>
          <rPr>
            <sz val="10"/>
            <rFont val="Arial"/>
            <family val="2"/>
          </rPr>
          <t xml:space="preserve">Due to illness
</t>
        </r>
      </text>
    </comment>
    <comment ref="AN37" authorId="0">
      <text>
        <r>
          <rPr>
            <sz val="10"/>
            <rFont val="Arial"/>
            <family val="2"/>
          </rPr>
          <t xml:space="preserve">College certificate
</t>
        </r>
      </text>
    </comment>
    <comment ref="AP38" authorId="0">
      <text>
        <r>
          <rPr>
            <sz val="10"/>
            <rFont val="Arial"/>
            <family val="2"/>
          </rPr>
          <t xml:space="preserve">College certificate
</t>
        </r>
      </text>
    </comment>
    <comment ref="AQ20" authorId="0">
      <text>
        <r>
          <rPr>
            <sz val="10"/>
            <rFont val="Arial"/>
            <family val="2"/>
          </rPr>
          <t xml:space="preserve">short circuit
</t>
        </r>
      </text>
    </comment>
    <comment ref="AQ22" authorId="0">
      <text>
        <r>
          <rPr>
            <sz val="10"/>
            <rFont val="Arial"/>
            <family val="2"/>
          </rPr>
          <t xml:space="preserve">LWP
</t>
        </r>
      </text>
    </comment>
    <comment ref="AQ39" authorId="0">
      <text>
        <r>
          <rPr>
            <sz val="10"/>
            <rFont val="Arial"/>
            <family val="2"/>
          </rPr>
          <t xml:space="preserve">court case
</t>
        </r>
      </text>
    </comment>
  </commentList>
</comments>
</file>

<file path=xl/sharedStrings.xml><?xml version="1.0" encoding="utf-8"?>
<sst xmlns="http://schemas.openxmlformats.org/spreadsheetml/2006/main" count="2620" uniqueCount="460">
  <si>
    <t xml:space="preserve">IDENTITY</t>
  </si>
  <si>
    <t xml:space="preserve">ELIGIBILITY</t>
  </si>
  <si>
    <t xml:space="preserve">LEAD SOURCE</t>
  </si>
  <si>
    <t xml:space="preserve">CONVERSIONS</t>
  </si>
  <si>
    <t xml:space="preserve">DEPOSITS</t>
  </si>
  <si>
    <t xml:space="preserve">COMMISSION</t>
  </si>
  <si>
    <t xml:space="preserve">DIALS</t>
  </si>
  <si>
    <t xml:space="preserve">QA &amp; TAGGING</t>
  </si>
  <si>
    <t xml:space="preserve">LEAVES</t>
  </si>
  <si>
    <t xml:space="preserve">KPI SUMMARY</t>
  </si>
  <si>
    <t xml:space="preserve">Email</t>
  </si>
  <si>
    <t xml:space="preserve">Team Lead</t>
  </si>
  <si>
    <t xml:space="preserve">Pool</t>
  </si>
  <si>
    <t xml:space="preserve">Total Target</t>
  </si>
  <si>
    <t xml:space="preserve">Final Eligibility</t>
  </si>
  <si>
    <t xml:space="preserve">Referral Eligibility</t>
  </si>
  <si>
    <t xml:space="preserve">Lead Source Distribution</t>
  </si>
  <si>
    <t xml:space="preserve">Conversions</t>
  </si>
  <si>
    <t xml:space="preserve">Conversion %</t>
  </si>
  <si>
    <t xml:space="preserve">Conv. Score</t>
  </si>
  <si>
    <t xml:space="preserve">Referral Conv.</t>
  </si>
  <si>
    <t xml:space="preserve">Referral Score</t>
  </si>
  <si>
    <t xml:space="preserve">Conv. w/ Weight</t>
  </si>
  <si>
    <t xml:space="preserve">10K Deposits</t>
  </si>
  <si>
    <t xml:space="preserve">15K Deposits</t>
  </si>
  <si>
    <t xml:space="preserve">Deposit %</t>
  </si>
  <si>
    <t xml:space="preserve">15K Deposit Amt</t>
  </si>
  <si>
    <t xml:space="preserve">10K Deposit Amt</t>
  </si>
  <si>
    <t xml:space="preserve">Pool 1 Commission</t>
  </si>
  <si>
    <t xml:space="preserve">Other Pool Commission</t>
  </si>
  <si>
    <t xml:space="preserve">Daily Commission</t>
  </si>
  <si>
    <t xml:space="preserve">Final Comission(₹)</t>
  </si>
  <si>
    <t xml:space="preserve">Unique Dials</t>
  </si>
  <si>
    <t xml:space="preserve">Unique Dials Score</t>
  </si>
  <si>
    <t xml:space="preserve">Total Dials</t>
  </si>
  <si>
    <t xml:space="preserve">Avg Dial Score</t>
  </si>
  <si>
    <t xml:space="preserve">QA Average</t>
  </si>
  <si>
    <t xml:space="preserve">QA Score</t>
  </si>
  <si>
    <t xml:space="preserve">Tagging Accuracy</t>
  </si>
  <si>
    <t xml:space="preserve">Tagging Score</t>
  </si>
  <si>
    <t xml:space="preserve">Deposit Score</t>
  </si>
  <si>
    <t xml:space="preserve">Leaves</t>
  </si>
  <si>
    <t xml:space="preserve">KPI Score</t>
  </si>
  <si>
    <t xml:space="preserve">KPI Status</t>
  </si>
  <si>
    <t xml:space="preserve">Conversion Status</t>
  </si>
  <si>
    <t xml:space="preserve">Referral Status</t>
  </si>
  <si>
    <t xml:space="preserve">Leave Status</t>
  </si>
  <si>
    <t xml:space="preserve">Tenure Status</t>
  </si>
  <si>
    <t xml:space="preserve">Final Status</t>
  </si>
  <si>
    <t xml:space="preserve">Final Payout</t>
  </si>
  <si>
    <t xml:space="preserve">AED Final Payout</t>
  </si>
  <si>
    <t xml:space="preserve">TEAM SUMMARY</t>
  </si>
  <si>
    <t xml:space="preserve">Sana</t>
  </si>
  <si>
    <t xml:space="preserve">Rehan</t>
  </si>
  <si>
    <t xml:space="preserve">OJT/Dialer</t>
  </si>
  <si>
    <t xml:space="preserve">meta: 2</t>
  </si>
  <si>
    <t xml:space="preserve">Darshini</t>
  </si>
  <si>
    <t xml:space="preserve">meta 6: 3, other: 1</t>
  </si>
  <si>
    <t xml:space="preserve">Deepa</t>
  </si>
  <si>
    <t xml:space="preserve">main website: 3, meta: 1, meta 6: 1</t>
  </si>
  <si>
    <t xml:space="preserve">Mohit</t>
  </si>
  <si>
    <t xml:space="preserve">main website: 1, meta: 1, meta 6: 1, other: 1</t>
  </si>
  <si>
    <t xml:space="preserve">Shiv</t>
  </si>
  <si>
    <t xml:space="preserve">main website: 1, meta: 5, meta 6: 2, referral: 4</t>
  </si>
  <si>
    <t xml:space="preserve">Siddhesh</t>
  </si>
  <si>
    <t xml:space="preserve">main website: 8, meta: 1, meta 6: 1, referral: 1</t>
  </si>
  <si>
    <t xml:space="preserve">Alina</t>
  </si>
  <si>
    <t xml:space="preserve">main website: 2, meta: 1, other: 1</t>
  </si>
  <si>
    <t xml:space="preserve">Amrit</t>
  </si>
  <si>
    <t xml:space="preserve">main website: 3, meta: 1, meta 6: 9, referral: 1</t>
  </si>
  <si>
    <t xml:space="preserve">Madhur</t>
  </si>
  <si>
    <t xml:space="preserve">Radhika</t>
  </si>
  <si>
    <t xml:space="preserve">POOL 2</t>
  </si>
  <si>
    <t xml:space="preserve">meta: 3, meta 6: 11, referral: 1</t>
  </si>
  <si>
    <t xml:space="preserve">Aaryan</t>
  </si>
  <si>
    <t xml:space="preserve">Vaibhav</t>
  </si>
  <si>
    <t xml:space="preserve">Haresh</t>
  </si>
  <si>
    <t xml:space="preserve">main website: 5, meta: 4, meta 6: 23, other: 2, referral: 4</t>
  </si>
  <si>
    <t xml:space="preserve">Reeya</t>
  </si>
  <si>
    <t xml:space="preserve">main website: 2</t>
  </si>
  <si>
    <t xml:space="preserve">Sneha</t>
  </si>
  <si>
    <t xml:space="preserve">Saif</t>
  </si>
  <si>
    <t xml:space="preserve">main website: 1, meta: 1, meta 6: 1</t>
  </si>
  <si>
    <t xml:space="preserve">Aamir</t>
  </si>
  <si>
    <t xml:space="preserve">main website: 3, meta: 1, meta 6: 5, referral: 10</t>
  </si>
  <si>
    <t xml:space="preserve">Suresh</t>
  </si>
  <si>
    <t xml:space="preserve">main website: 3, meta: 1, meta 6: 9, other: 1, referral: 4</t>
  </si>
  <si>
    <t xml:space="preserve">Sandeep</t>
  </si>
  <si>
    <t xml:space="preserve">main website: 9, meta: 1, meta 6: 8, other: 1, referral: 6</t>
  </si>
  <si>
    <t xml:space="preserve">Ashutosh</t>
  </si>
  <si>
    <t xml:space="preserve">POOL 1</t>
  </si>
  <si>
    <t xml:space="preserve">main website: 100, meta: 4, other: 2, referral: 83</t>
  </si>
  <si>
    <t xml:space="preserve">Anuj S</t>
  </si>
  <si>
    <t xml:space="preserve">main website: 3, meta: 3, meta 6: 20, other: 4, referral: 2</t>
  </si>
  <si>
    <t xml:space="preserve">Saurabh S</t>
  </si>
  <si>
    <t xml:space="preserve">main website: 3, meta: 1, meta 6: 3, other: 1, referral: 1</t>
  </si>
  <si>
    <t xml:space="preserve">Prince</t>
  </si>
  <si>
    <t xml:space="preserve">main website: 99, meta: 2, other: 4, referral: 61</t>
  </si>
  <si>
    <t xml:space="preserve">Irfan</t>
  </si>
  <si>
    <t xml:space="preserve">main website: 3, meta: 6, meta 6: 31, other: 3, referral: 17</t>
  </si>
  <si>
    <t xml:space="preserve">Anjali</t>
  </si>
  <si>
    <t xml:space="preserve">main website: 9, meta: 3, meta 6: 5, other: 1, referral: 6</t>
  </si>
  <si>
    <t xml:space="preserve">Mitali</t>
  </si>
  <si>
    <t xml:space="preserve">main website: 10, meta: 3, meta 6: 11, other: 1, referral: 7</t>
  </si>
  <si>
    <t xml:space="preserve">Chandan Y</t>
  </si>
  <si>
    <t xml:space="preserve">meta: 3, meta 6: 17, other: 3, referral: 13</t>
  </si>
  <si>
    <t xml:space="preserve">Sangita M</t>
  </si>
  <si>
    <t xml:space="preserve">main website: 4, meta 6: 4</t>
  </si>
  <si>
    <t xml:space="preserve">Yatin</t>
  </si>
  <si>
    <t xml:space="preserve">main website: 5, meta: 1, meta 6: 3, other: 1, referral: 4</t>
  </si>
  <si>
    <t xml:space="preserve">Adharv</t>
  </si>
  <si>
    <t xml:space="preserve">main website: 5, meta: 2, meta 6: 6, other: 2, referral: 4</t>
  </si>
  <si>
    <t xml:space="preserve">Kawaljit K</t>
  </si>
  <si>
    <t xml:space="preserve">meta: 4, meta 6: 28, referral: 20</t>
  </si>
  <si>
    <t xml:space="preserve">Abhishek K</t>
  </si>
  <si>
    <t xml:space="preserve">meta: 1, meta 6: 17, other: 3, referral: 10</t>
  </si>
  <si>
    <t xml:space="preserve">Waman</t>
  </si>
  <si>
    <t xml:space="preserve">main website: 85, meta: 1, meta 6: 3, other: 2, referral: 39</t>
  </si>
  <si>
    <t xml:space="preserve">Maaz</t>
  </si>
  <si>
    <t xml:space="preserve">meta: 4, meta 6: 18, other: 1, referral: 20</t>
  </si>
  <si>
    <t xml:space="preserve">Fahrukh</t>
  </si>
  <si>
    <t xml:space="preserve">main website: 1, meta: 3, meta 6: 17, other: 3, referral: 14</t>
  </si>
  <si>
    <t xml:space="preserve">Nair</t>
  </si>
  <si>
    <t xml:space="preserve">main website: 76, meta: 1, meta 6: 5, other: 1, referral: 46</t>
  </si>
  <si>
    <t xml:space="preserve">Riddhi</t>
  </si>
  <si>
    <t xml:space="preserve">main website: 2, meta: 5, meta 6: 14, other: 1, referral: 15</t>
  </si>
  <si>
    <t xml:space="preserve">Monika</t>
  </si>
  <si>
    <t xml:space="preserve">main website: 92, meta 6: 1, other: 5, referral: 41</t>
  </si>
  <si>
    <t xml:space="preserve">Ankita</t>
  </si>
  <si>
    <t xml:space="preserve">main website: 5, meta: 5, meta 6: 4, other: 1, referral: 6</t>
  </si>
  <si>
    <t xml:space="preserve">Ritesh</t>
  </si>
  <si>
    <t xml:space="preserve">main website: 3, meta: 4, meta 6: 8, referral: 7</t>
  </si>
  <si>
    <t xml:space="preserve">Sachin G</t>
  </si>
  <si>
    <t xml:space="preserve">main website: 1, meta: 10, meta 6: 34, other: 1, referral: 14</t>
  </si>
  <si>
    <t xml:space="preserve">Shambu</t>
  </si>
  <si>
    <t xml:space="preserve">main website: 3, meta: 2, meta 6: 7, referral: 4</t>
  </si>
  <si>
    <t xml:space="preserve">Deepa Negi</t>
  </si>
  <si>
    <t xml:space="preserve">meta: 4, meta 6: 21, other: 2, referral: 7</t>
  </si>
  <si>
    <t xml:space="preserve">Aslam K</t>
  </si>
  <si>
    <t xml:space="preserve">main website: 1, meta: 4, meta 6: 1, referral: 2</t>
  </si>
  <si>
    <t xml:space="preserve">Sonal</t>
  </si>
  <si>
    <t xml:space="preserve">main website: 1, meta: 2, meta 6: 11, referral: 5</t>
  </si>
  <si>
    <t xml:space="preserve">Sushil</t>
  </si>
  <si>
    <t xml:space="preserve">main website: 43, meta: 1, other: 1, referral: 18</t>
  </si>
  <si>
    <t xml:space="preserve">EMPLOYEE INFO</t>
  </si>
  <si>
    <t xml:space="preserve">MARCH 2026 ATTENDANCE</t>
  </si>
  <si>
    <t xml:space="preserve">SUMMARY</t>
  </si>
  <si>
    <t xml:space="preserve">TARGETS</t>
  </si>
  <si>
    <t xml:space="preserve">SR#</t>
  </si>
  <si>
    <t xml:space="preserve">Employee code</t>
  </si>
  <si>
    <t xml:space="preserve">CRM ID</t>
  </si>
  <si>
    <t xml:space="preserve">CRM Name</t>
  </si>
  <si>
    <t xml:space="preserve">Full Name</t>
  </si>
  <si>
    <t xml:space="preserve">Email ID</t>
  </si>
  <si>
    <t xml:space="preserve">Company Food</t>
  </si>
  <si>
    <t xml:space="preserve">Religion</t>
  </si>
  <si>
    <t xml:space="preserve">Date Of Joining</t>
  </si>
  <si>
    <t xml:space="preserve">Vertical</t>
  </si>
  <si>
    <t xml:space="preserve">TL</t>
  </si>
  <si>
    <t xml:space="preserve">Location</t>
  </si>
  <si>
    <t xml:space="preserve">Status - Active/Inactive</t>
  </si>
  <si>
    <t xml:space="preserve">Scalebot</t>
  </si>
  <si>
    <t xml:space="preserve">Whatsapp</t>
  </si>
  <si>
    <t xml:space="preserve">Whatsapp Number</t>
  </si>
  <si>
    <t xml:space="preserve">Watii</t>
  </si>
  <si>
    <t xml:space="preserve">Virtual Whatsapp</t>
  </si>
  <si>
    <t xml:space="preserve">Language</t>
  </si>
  <si>
    <t xml:space="preserve">New web trader account id</t>
  </si>
  <si>
    <t xml:space="preserve">1
Mar</t>
  </si>
  <si>
    <t xml:space="preserve">2
Mar</t>
  </si>
  <si>
    <t xml:space="preserve">3
Mar</t>
  </si>
  <si>
    <t xml:space="preserve">4
Mar</t>
  </si>
  <si>
    <t xml:space="preserve">5
Mar</t>
  </si>
  <si>
    <t xml:space="preserve">6
Mar</t>
  </si>
  <si>
    <t xml:space="preserve">7
Mar</t>
  </si>
  <si>
    <t xml:space="preserve">8
Mar</t>
  </si>
  <si>
    <t xml:space="preserve">9
Mar</t>
  </si>
  <si>
    <t xml:space="preserve">10
Mar</t>
  </si>
  <si>
    <t xml:space="preserve">11
Mar</t>
  </si>
  <si>
    <t xml:space="preserve">12
Mar</t>
  </si>
  <si>
    <t xml:space="preserve">13
Mar</t>
  </si>
  <si>
    <t xml:space="preserve">14
Mar</t>
  </si>
  <si>
    <t xml:space="preserve">15
Mar</t>
  </si>
  <si>
    <t xml:space="preserve">16
Mar</t>
  </si>
  <si>
    <t xml:space="preserve">17
Mar</t>
  </si>
  <si>
    <t xml:space="preserve">18
Mar</t>
  </si>
  <si>
    <t xml:space="preserve">19
Mar</t>
  </si>
  <si>
    <t xml:space="preserve">20
Mar</t>
  </si>
  <si>
    <t xml:space="preserve">21
Mar</t>
  </si>
  <si>
    <t xml:space="preserve">22
Mar</t>
  </si>
  <si>
    <t xml:space="preserve">23
Mar</t>
  </si>
  <si>
    <t xml:space="preserve">24
Mar</t>
  </si>
  <si>
    <t xml:space="preserve">25
Mar</t>
  </si>
  <si>
    <t xml:space="preserve">26
Mar</t>
  </si>
  <si>
    <t xml:space="preserve">27
Mar</t>
  </si>
  <si>
    <t xml:space="preserve">28
Mar</t>
  </si>
  <si>
    <t xml:space="preserve">29
Mar</t>
  </si>
  <si>
    <t xml:space="preserve">30
Mar</t>
  </si>
  <si>
    <t xml:space="preserve">31
Mar</t>
  </si>
  <si>
    <t xml:space="preserve">Total Days</t>
  </si>
  <si>
    <t xml:space="preserve">Present</t>
  </si>
  <si>
    <t xml:space="preserve">Half-Day</t>
  </si>
  <si>
    <t xml:space="preserve">Leave</t>
  </si>
  <si>
    <t xml:space="preserve">Casual leave</t>
  </si>
  <si>
    <t xml:space="preserve">Holiday</t>
  </si>
  <si>
    <t xml:space="preserve">Comp-off</t>
  </si>
  <si>
    <t xml:space="preserve">Earned Leave</t>
  </si>
  <si>
    <t xml:space="preserve">UL/Leave</t>
  </si>
  <si>
    <t xml:space="preserve">UL P</t>
  </si>
  <si>
    <t xml:space="preserve">LWP/Penalty</t>
  </si>
  <si>
    <t xml:space="preserve">Week Off</t>
  </si>
  <si>
    <t xml:space="preserve">Payable Days</t>
  </si>
  <si>
    <t xml:space="preserve">Remark</t>
  </si>
  <si>
    <t xml:space="preserve">Target</t>
  </si>
  <si>
    <t xml:space="preserve">Referral</t>
  </si>
  <si>
    <t xml:space="preserve">E-1251</t>
  </si>
  <si>
    <t xml:space="preserve">01INMONIKA0723</t>
  </si>
  <si>
    <t xml:space="preserve">Monika Rijhwani</t>
  </si>
  <si>
    <t xml:space="preserve">NA</t>
  </si>
  <si>
    <t xml:space="preserve">NON MUSLIM</t>
  </si>
  <si>
    <t xml:space="preserve">TX</t>
  </si>
  <si>
    <t xml:space="preserve">WFH - Adya IT</t>
  </si>
  <si>
    <t xml:space="preserve">Active</t>
  </si>
  <si>
    <t xml:space="preserve">No</t>
  </si>
  <si>
    <t xml:space="preserve">+1 (262) 344-8839</t>
  </si>
  <si>
    <t xml:space="preserve">Hindi</t>
  </si>
  <si>
    <t xml:space="preserve">M18845</t>
  </si>
  <si>
    <t xml:space="preserve">WO</t>
  </si>
  <si>
    <t xml:space="preserve">PP</t>
  </si>
  <si>
    <t xml:space="preserve">HO</t>
  </si>
  <si>
    <t xml:space="preserve">E-1253</t>
  </si>
  <si>
    <t xml:space="preserve">13INASHUTOSH0823</t>
  </si>
  <si>
    <t xml:space="preserve">Ashutosh Singh</t>
  </si>
  <si>
    <t xml:space="preserve">+1 (938) 290-0306</t>
  </si>
  <si>
    <t xml:space="preserve">Hindi,English</t>
  </si>
  <si>
    <t xml:space="preserve">A18844</t>
  </si>
  <si>
    <t xml:space="preserve">EL</t>
  </si>
  <si>
    <t xml:space="preserve">E-1255</t>
  </si>
  <si>
    <t xml:space="preserve">18INPRINCE0923</t>
  </si>
  <si>
    <t xml:space="preserve">Prince Priye</t>
  </si>
  <si>
    <t xml:space="preserve">+44 7781587534</t>
  </si>
  <si>
    <t xml:space="preserve">Hindi and English</t>
  </si>
  <si>
    <t xml:space="preserve">P18858</t>
  </si>
  <si>
    <t xml:space="preserve">E-1252</t>
  </si>
  <si>
    <t xml:space="preserve">88WAMAN1123</t>
  </si>
  <si>
    <t xml:space="preserve">Waman A</t>
  </si>
  <si>
    <t xml:space="preserve">Waman Avhad</t>
  </si>
  <si>
    <t xml:space="preserve">Yes</t>
  </si>
  <si>
    <t xml:space="preserve">Marathi and Hindi</t>
  </si>
  <si>
    <t xml:space="preserve">W18916</t>
  </si>
  <si>
    <t xml:space="preserve">E-1706</t>
  </si>
  <si>
    <t xml:space="preserve">520INNair0525</t>
  </si>
  <si>
    <t xml:space="preserve">Narendra Merotra</t>
  </si>
  <si>
    <t xml:space="preserve">T1</t>
  </si>
  <si>
    <t xml:space="preserve">WFH - Direct</t>
  </si>
  <si>
    <t xml:space="preserve">+1 2626125828</t>
  </si>
  <si>
    <t xml:space="preserve">Absent</t>
  </si>
  <si>
    <t xml:space="preserve">E-1668</t>
  </si>
  <si>
    <t xml:space="preserve">475INSUSHIL0525</t>
  </si>
  <si>
    <t xml:space="preserve">+1 (262) 612-0567</t>
  </si>
  <si>
    <t xml:space="preserve">M18781</t>
  </si>
  <si>
    <t xml:space="preserve">E-1817</t>
  </si>
  <si>
    <t xml:space="preserve">577INSAURABH0725</t>
  </si>
  <si>
    <t xml:space="preserve">Saurabh</t>
  </si>
  <si>
    <t xml:space="preserve">Shalabh Mathur</t>
  </si>
  <si>
    <t xml:space="preserve">OJT</t>
  </si>
  <si>
    <t xml:space="preserve">S18921</t>
  </si>
  <si>
    <t xml:space="preserve">E-1832</t>
  </si>
  <si>
    <t xml:space="preserve">585INRITESH0725</t>
  </si>
  <si>
    <t xml:space="preserve">Rituraj</t>
  </si>
  <si>
    <t xml:space="preserve">yes</t>
  </si>
  <si>
    <t xml:space="preserve">R18927</t>
  </si>
  <si>
    <t xml:space="preserve">UL</t>
  </si>
  <si>
    <t xml:space="preserve">E-1825</t>
  </si>
  <si>
    <t xml:space="preserve">584INSNEHA0825</t>
  </si>
  <si>
    <t xml:space="preserve">Shruti Ravindra Basa</t>
  </si>
  <si>
    <t xml:space="preserve">Hindi, English and Telgu</t>
  </si>
  <si>
    <t xml:space="preserve">D18924</t>
  </si>
  <si>
    <t xml:space="preserve">E-1875</t>
  </si>
  <si>
    <t xml:space="preserve">592INASLAM0825</t>
  </si>
  <si>
    <t xml:space="preserve">Aslam</t>
  </si>
  <si>
    <t xml:space="preserve">Ashif Khan</t>
  </si>
  <si>
    <t xml:space="preserve">MUSLIM</t>
  </si>
  <si>
    <t xml:space="preserve">A18922</t>
  </si>
  <si>
    <t xml:space="preserve">E-1913</t>
  </si>
  <si>
    <t xml:space="preserve">596INSHAMBU0925</t>
  </si>
  <si>
    <t xml:space="preserve">Satish Chauhan</t>
  </si>
  <si>
    <t xml:space="preserve">NO</t>
  </si>
  <si>
    <t xml:space="preserve">English and Hindi</t>
  </si>
  <si>
    <t xml:space="preserve">S19285</t>
  </si>
  <si>
    <t xml:space="preserve">E-1900</t>
  </si>
  <si>
    <t xml:space="preserve">597INSURESH0925</t>
  </si>
  <si>
    <t xml:space="preserve">Sumit Patel</t>
  </si>
  <si>
    <t xml:space="preserve">S19292</t>
  </si>
  <si>
    <t xml:space="preserve">E-1911</t>
  </si>
  <si>
    <t xml:space="preserve">599INAAMIR0925</t>
  </si>
  <si>
    <t xml:space="preserve">Ali</t>
  </si>
  <si>
    <t xml:space="preserve">A19294</t>
  </si>
  <si>
    <t xml:space="preserve">E-1906</t>
  </si>
  <si>
    <t xml:space="preserve">600INYATIN0925</t>
  </si>
  <si>
    <t xml:space="preserve">Yogesh Dhaka</t>
  </si>
  <si>
    <t xml:space="preserve">Hindi, English and Haryanvi</t>
  </si>
  <si>
    <t xml:space="preserve">Y19309</t>
  </si>
  <si>
    <t xml:space="preserve">E-1910</t>
  </si>
  <si>
    <t xml:space="preserve">612INSANDEEP0925</t>
  </si>
  <si>
    <t xml:space="preserve">S25714</t>
  </si>
  <si>
    <t xml:space="preserve">HD</t>
  </si>
  <si>
    <t xml:space="preserve">U-1102</t>
  </si>
  <si>
    <t xml:space="preserve">arjun uplora</t>
  </si>
  <si>
    <t xml:space="preserve">arjun</t>
  </si>
  <si>
    <t xml:space="preserve">Arjun U</t>
  </si>
  <si>
    <t xml:space="preserve">Inactive</t>
  </si>
  <si>
    <t xml:space="preserve">Hindi ,telugu,kannada,tamil and english</t>
  </si>
  <si>
    <t xml:space="preserve">E-1069</t>
  </si>
  <si>
    <t xml:space="preserve">246DXBASHPREET0924</t>
  </si>
  <si>
    <t xml:space="preserve">Ashpreet</t>
  </si>
  <si>
    <t xml:space="preserve">Ashpreet K</t>
  </si>
  <si>
    <t xml:space="preserve">Welcome Calling</t>
  </si>
  <si>
    <t xml:space="preserve">DXB</t>
  </si>
  <si>
    <t xml:space="preserve">active</t>
  </si>
  <si>
    <t xml:space="preserve">Hindi, Punjabi</t>
  </si>
  <si>
    <t xml:space="preserve">E-1751</t>
  </si>
  <si>
    <t xml:space="preserve">569DXBMAAZ0625</t>
  </si>
  <si>
    <t xml:space="preserve">Mohammed Mujahed Ali</t>
  </si>
  <si>
    <t xml:space="preserve">Meta</t>
  </si>
  <si>
    <t xml:space="preserve">M19305</t>
  </si>
  <si>
    <t xml:space="preserve">CL</t>
  </si>
  <si>
    <t xml:space="preserve">E-1266</t>
  </si>
  <si>
    <t xml:space="preserve">223INABHIK0824</t>
  </si>
  <si>
    <t xml:space="preserve">Abhishek Kumar</t>
  </si>
  <si>
    <t xml:space="preserve">A19308</t>
  </si>
  <si>
    <t xml:space="preserve">E-1732</t>
  </si>
  <si>
    <t xml:space="preserve">552INSONAL0625</t>
  </si>
  <si>
    <t xml:space="preserve">Shilpa Sharma</t>
  </si>
  <si>
    <t xml:space="preserve">Gujarti, Marwadi, Bengali, Punjabi, Hindi and English</t>
  </si>
  <si>
    <t xml:space="preserve">J18940</t>
  </si>
  <si>
    <t xml:space="preserve">E-1261</t>
  </si>
  <si>
    <t xml:space="preserve">124INSACHIN0324</t>
  </si>
  <si>
    <t xml:space="preserve">Sachin</t>
  </si>
  <si>
    <t xml:space="preserve">S18899</t>
  </si>
  <si>
    <t xml:space="preserve">E- 1237</t>
  </si>
  <si>
    <t xml:space="preserve">313DXBKAWALJITK1124</t>
  </si>
  <si>
    <t xml:space="preserve">Kawaljit</t>
  </si>
  <si>
    <t xml:space="preserve">Kawaljit Kaur</t>
  </si>
  <si>
    <t xml:space="preserve">Punjabi, Hindi</t>
  </si>
  <si>
    <t xml:space="preserve">K19388</t>
  </si>
  <si>
    <t xml:space="preserve">E-1274</t>
  </si>
  <si>
    <t xml:space="preserve">251INCHANDANY0924</t>
  </si>
  <si>
    <t xml:space="preserve">Chandan Yadav</t>
  </si>
  <si>
    <t xml:space="preserve">C18950</t>
  </si>
  <si>
    <t xml:space="preserve">E-1689</t>
  </si>
  <si>
    <t xml:space="preserve">502INFAHRUKH0525</t>
  </si>
  <si>
    <t xml:space="preserve">FAHRUKH</t>
  </si>
  <si>
    <t xml:space="preserve">Firoj Shaikh</t>
  </si>
  <si>
    <t xml:space="preserve">F23175</t>
  </si>
  <si>
    <t xml:space="preserve">E-1304</t>
  </si>
  <si>
    <t xml:space="preserve">328INANUJS1124</t>
  </si>
  <si>
    <t xml:space="preserve">Anuj</t>
  </si>
  <si>
    <t xml:space="preserve">A19121</t>
  </si>
  <si>
    <t xml:space="preserve">E-1656</t>
  </si>
  <si>
    <t xml:space="preserve">614INIRFAN0425</t>
  </si>
  <si>
    <t xml:space="preserve">israr</t>
  </si>
  <si>
    <t xml:space="preserve">Mohmmad israr</t>
  </si>
  <si>
    <t xml:space="preserve">hindi</t>
  </si>
  <si>
    <t xml:space="preserve">M22227</t>
  </si>
  <si>
    <t xml:space="preserve">E-1821</t>
  </si>
  <si>
    <t xml:space="preserve">580INRIDDHI0825</t>
  </si>
  <si>
    <t xml:space="preserve">Rachna Joshi</t>
  </si>
  <si>
    <t xml:space="preserve">Hindi, Punjabi and English</t>
  </si>
  <si>
    <t xml:space="preserve">R18931</t>
  </si>
  <si>
    <t xml:space="preserve">E-2110</t>
  </si>
  <si>
    <t xml:space="preserve">E-1443</t>
  </si>
  <si>
    <t xml:space="preserve">397DXBDEEPA0225</t>
  </si>
  <si>
    <t xml:space="preserve">Suja Basnet</t>
  </si>
  <si>
    <t xml:space="preserve">Nepali, Hindi</t>
  </si>
  <si>
    <t xml:space="preserve">D19386</t>
  </si>
  <si>
    <t xml:space="preserve">E-1284</t>
  </si>
  <si>
    <t xml:space="preserve">272INSANGITAM0924</t>
  </si>
  <si>
    <t xml:space="preserve">Sangita</t>
  </si>
  <si>
    <t xml:space="preserve">Sangita Mhanta</t>
  </si>
  <si>
    <t xml:space="preserve">Dialer</t>
  </si>
  <si>
    <t xml:space="preserve">Telgu, Marathi, Hindi and English</t>
  </si>
  <si>
    <t xml:space="preserve">S18866</t>
  </si>
  <si>
    <t xml:space="preserve">E-1460</t>
  </si>
  <si>
    <t xml:space="preserve">412INADHARV0225</t>
  </si>
  <si>
    <t xml:space="preserve">Adharv A</t>
  </si>
  <si>
    <t xml:space="preserve">Anuj Saini</t>
  </si>
  <si>
    <t xml:space="preserve">+84 56 278 8327</t>
  </si>
  <si>
    <t xml:space="preserve">A18913</t>
  </si>
  <si>
    <t xml:space="preserve">E-1456</t>
  </si>
  <si>
    <t xml:space="preserve">403INADVIT0225</t>
  </si>
  <si>
    <t xml:space="preserve">Advit</t>
  </si>
  <si>
    <t xml:space="preserve">Rohit Goyal</t>
  </si>
  <si>
    <t xml:space="preserve">R18861</t>
  </si>
  <si>
    <t xml:space="preserve">Attrite</t>
  </si>
  <si>
    <t xml:space="preserve">E-1673</t>
  </si>
  <si>
    <t xml:space="preserve">497INAnjali0525</t>
  </si>
  <si>
    <t xml:space="preserve">Amandeep</t>
  </si>
  <si>
    <t xml:space="preserve">Hindi and Punjabi</t>
  </si>
  <si>
    <t xml:space="preserve">A18863</t>
  </si>
  <si>
    <t xml:space="preserve">E-1678</t>
  </si>
  <si>
    <t xml:space="preserve">498INAnkita0525</t>
  </si>
  <si>
    <t xml:space="preserve">Aprajita Jaiswal</t>
  </si>
  <si>
    <t xml:space="preserve">A18849</t>
  </si>
  <si>
    <t xml:space="preserve">E-1717</t>
  </si>
  <si>
    <t xml:space="preserve">537INMITALI0625</t>
  </si>
  <si>
    <t xml:space="preserve">Manasvi Tiwari</t>
  </si>
  <si>
    <t xml:space="preserve">+63 9757380279</t>
  </si>
  <si>
    <t xml:space="preserve">M18857</t>
  </si>
  <si>
    <t xml:space="preserve">E-2115</t>
  </si>
  <si>
    <t xml:space="preserve">Sagar</t>
  </si>
  <si>
    <t xml:space="preserve">+1 (769) 799-8243</t>
  </si>
  <si>
    <t xml:space="preserve">E-2116</t>
  </si>
  <si>
    <t xml:space="preserve">Sahil</t>
  </si>
  <si>
    <t xml:space="preserve">E-2121</t>
  </si>
  <si>
    <t xml:space="preserve">Shivashish</t>
  </si>
  <si>
    <t xml:space="preserve">OJT 1</t>
  </si>
  <si>
    <t xml:space="preserve">E-2123</t>
  </si>
  <si>
    <t xml:space="preserve">Dipali Sharma</t>
  </si>
  <si>
    <t xml:space="preserve">E-2124</t>
  </si>
  <si>
    <t xml:space="preserve">Azhar Hussain</t>
  </si>
  <si>
    <t xml:space="preserve">Hindi, Urdu and English</t>
  </si>
  <si>
    <t xml:space="preserve">E-2125</t>
  </si>
  <si>
    <t xml:space="preserve">Jignesh Gohil</t>
  </si>
  <si>
    <t xml:space="preserve">Hindi, Gujrati and English</t>
  </si>
  <si>
    <t xml:space="preserve">E-2127</t>
  </si>
  <si>
    <t xml:space="preserve">Deepali Shishodia</t>
  </si>
  <si>
    <t xml:space="preserve">+1 8195092470</t>
  </si>
  <si>
    <t xml:space="preserve">E-2128</t>
  </si>
  <si>
    <t xml:space="preserve">Dakshith</t>
  </si>
  <si>
    <t xml:space="preserve">Daud Khan</t>
  </si>
  <si>
    <t xml:space="preserve">E-2130</t>
  </si>
  <si>
    <t xml:space="preserve">Ansari Farha</t>
  </si>
  <si>
    <t xml:space="preserve">E-2132</t>
  </si>
  <si>
    <t xml:space="preserve">Kanika</t>
  </si>
  <si>
    <t xml:space="preserve">Kratika Verma</t>
  </si>
  <si>
    <t xml:space="preserve">+44 7308638430</t>
  </si>
  <si>
    <t xml:space="preserve">E-2133</t>
  </si>
  <si>
    <t xml:space="preserve">Mayfouz Khan</t>
  </si>
  <si>
    <t xml:space="preserve">Telgu, Hindi, Kannada, Tamil, Urdu and English</t>
  </si>
  <si>
    <t xml:space="preserve">E-2135</t>
  </si>
  <si>
    <t xml:space="preserve">Maria Ikram Khan</t>
  </si>
  <si>
    <t xml:space="preserve">+44 7402664654</t>
  </si>
  <si>
    <t xml:space="preserve">E-2137</t>
  </si>
  <si>
    <t xml:space="preserve">Jeeva</t>
  </si>
  <si>
    <t xml:space="preserve">Sarthak Verma</t>
  </si>
  <si>
    <t xml:space="preserve">E-2126</t>
  </si>
  <si>
    <t xml:space="preserve">Anjali Jaiswal</t>
  </si>
  <si>
    <t xml:space="preserve">Hindi, Tamil and English</t>
  </si>
  <si>
    <t xml:space="preserve">AGENT</t>
  </si>
  <si>
    <t xml:space="preserve">MONTHS</t>
  </si>
  <si>
    <t xml:space="preserve">SCORES</t>
  </si>
  <si>
    <t xml:space="preserve">Tenure</t>
  </si>
  <si>
    <t xml:space="preserve">Months</t>
  </si>
  <si>
    <t xml:space="preserve">March</t>
  </si>
  <si>
    <t xml:space="preserve">Feb</t>
  </si>
  <si>
    <t xml:space="preserve">Jan</t>
  </si>
  <si>
    <t xml:space="preserve">Average</t>
  </si>
  <si>
    <t xml:space="preserve">Tenure Eligibility</t>
  </si>
  <si>
    <t xml:space="preserve">ELIGIBLE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</si>
</sst>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"/>
    <numFmt numFmtId="166" formatCode="0.0"/>
    <numFmt numFmtId="167" formatCode="\₹#,##0"/>
    <numFmt numFmtId="168" formatCode="#,##0;\-#,##0;\-"/>
    <numFmt numFmtId="169" formatCode="0.0;\-0.0;\-"/>
    <numFmt numFmtId="170" formatCode="General"/>
    <numFmt numFmtId="171" formatCode="&quot;AED &quot;#,##0"/>
    <numFmt numFmtId="172" formatCode="d\-mmm"/>
    <numFmt numFmtId="173" formatCode="dd\-mmm\-yy"/>
    <numFmt numFmtId="174" formatCode="#,##0"/>
    <numFmt numFmtId="175" formatCode="dd\-mm\-yyyy"/>
    <numFmt numFmtId="176" formatCode="0;[RED]0"/>
    <numFmt numFmtId="177" formatCode="0.00;\-0.00;\-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8"/>
      <color rgb="FF475569"/>
      <name val="Calibri"/>
      <family val="0"/>
      <charset val="1"/>
    </font>
    <font>
      <b val="true"/>
      <sz val="9"/>
      <color rgb="FFFBBF24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b val="true"/>
      <sz val="8"/>
      <color rgb="FF9A3412"/>
      <name val="Calibri"/>
      <family val="0"/>
      <charset val="1"/>
    </font>
    <font>
      <b val="true"/>
      <sz val="8"/>
      <color rgb="FF3730A3"/>
      <name val="Calibri"/>
      <family val="0"/>
      <charset val="1"/>
    </font>
    <font>
      <sz val="9"/>
      <color rgb="FF475569"/>
      <name val="Calibri"/>
      <family val="0"/>
      <charset val="1"/>
    </font>
    <font>
      <i val="true"/>
      <sz val="7"/>
      <color rgb="FF94A3B8"/>
      <name val="Calibri"/>
      <family val="0"/>
      <charset val="1"/>
    </font>
    <font>
      <b val="true"/>
      <sz val="9"/>
      <color rgb="FFF43F5E"/>
      <name val="Calibri"/>
      <family val="0"/>
      <charset val="1"/>
    </font>
    <font>
      <sz val="9"/>
      <color rgb="FF9D174D"/>
      <name val="Calibri"/>
      <family val="0"/>
      <charset val="1"/>
    </font>
    <font>
      <sz val="9"/>
      <color rgb="FF0F766E"/>
      <name val="Calibri"/>
      <family val="0"/>
      <charset val="1"/>
    </font>
    <font>
      <sz val="9"/>
      <color rgb="FF334155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3"/>
      <color rgb="FF9F1239"/>
      <name val="Calibri"/>
      <family val="0"/>
      <charset val="1"/>
    </font>
    <font>
      <b val="true"/>
      <sz val="8"/>
      <color rgb="FF334155"/>
      <name val="Calibri"/>
      <family val="0"/>
      <charset val="1"/>
    </font>
    <font>
      <b val="true"/>
      <sz val="10"/>
      <color rgb="FF1D4ED8"/>
      <name val="Calibri"/>
      <family val="0"/>
      <charset val="1"/>
    </font>
    <font>
      <b val="true"/>
      <sz val="9"/>
      <color rgb="FF1E40AF"/>
      <name val="Calibri"/>
      <family val="0"/>
      <charset val="1"/>
    </font>
    <font>
      <b val="true"/>
      <sz val="10"/>
      <color rgb="FF15803D"/>
      <name val="Calibri"/>
      <family val="0"/>
      <charset val="1"/>
    </font>
    <font>
      <b val="true"/>
      <sz val="13"/>
      <color rgb="FF92400E"/>
      <name val="Calibri"/>
      <family val="0"/>
      <charset val="1"/>
    </font>
    <font>
      <b val="true"/>
      <sz val="13"/>
      <color rgb="FF166534"/>
      <name val="Calibri"/>
      <family val="0"/>
      <charset val="1"/>
    </font>
    <font>
      <b val="true"/>
      <sz val="8"/>
      <color rgb="FF7E22CE"/>
      <name val="Calibri"/>
      <family val="0"/>
      <charset val="1"/>
    </font>
    <font>
      <b val="true"/>
      <sz val="8"/>
      <color rgb="FF1E40AF"/>
      <name val="Calibri"/>
      <family val="0"/>
      <charset val="1"/>
    </font>
    <font>
      <b val="true"/>
      <sz val="10"/>
      <color rgb="FFBE123C"/>
      <name val="Calibri"/>
      <family val="0"/>
      <charset val="1"/>
    </font>
    <font>
      <b val="true"/>
      <sz val="8"/>
      <color rgb="FF166534"/>
      <name val="Calibri"/>
      <family val="0"/>
      <charset val="1"/>
    </font>
    <font>
      <b val="true"/>
      <sz val="9"/>
      <color rgb="FF0F172A"/>
      <name val="Calibri"/>
      <family val="0"/>
      <charset val="1"/>
    </font>
    <font>
      <i val="true"/>
      <sz val="8"/>
      <color rgb="FF64748B"/>
      <name val="Calibri"/>
      <family val="0"/>
      <charset val="1"/>
    </font>
    <font>
      <sz val="8"/>
      <color rgb="FF64748B"/>
      <name val="Calibri"/>
      <family val="0"/>
      <charset val="1"/>
    </font>
    <font>
      <b val="true"/>
      <sz val="8"/>
      <color rgb="FF15803D"/>
      <name val="Calibri"/>
      <family val="0"/>
      <charset val="1"/>
    </font>
    <font>
      <b val="true"/>
      <sz val="8"/>
      <color rgb="FF5B21B6"/>
      <name val="Calibri"/>
      <family val="0"/>
      <charset val="1"/>
    </font>
    <font>
      <b val="true"/>
      <sz val="8"/>
      <color rgb="FF92400E"/>
      <name val="Calibri"/>
      <family val="0"/>
      <charset val="1"/>
    </font>
    <font>
      <sz val="7"/>
      <color rgb="FFCBD5E1"/>
      <name val="Calibri"/>
      <family val="0"/>
      <charset val="1"/>
    </font>
    <font>
      <b val="true"/>
      <sz val="9"/>
      <color rgb="FF92400E"/>
      <name val="Calibri"/>
      <family val="0"/>
      <charset val="1"/>
    </font>
    <font>
      <b val="true"/>
      <sz val="8"/>
      <color rgb="FF0369A1"/>
      <name val="Calibri"/>
      <family val="0"/>
      <charset val="1"/>
    </font>
    <font>
      <b val="true"/>
      <sz val="8"/>
      <color rgb="FF991B1B"/>
      <name val="Calibri"/>
      <family val="0"/>
      <charset val="1"/>
    </font>
    <font>
      <b val="true"/>
      <sz val="8"/>
      <color rgb="FF6D28D9"/>
      <name val="Calibri"/>
      <family val="0"/>
      <charset val="1"/>
    </font>
    <font>
      <b val="true"/>
      <sz val="8"/>
      <color rgb="FF9F1239"/>
      <name val="Calibri"/>
      <family val="0"/>
      <charset val="1"/>
    </font>
    <font>
      <b val="true"/>
      <sz val="8"/>
      <color rgb="FFBE123C"/>
      <name val="Calibri"/>
      <family val="0"/>
      <charset val="1"/>
    </font>
    <font>
      <b val="true"/>
      <sz val="8"/>
      <color rgb="FF854D0E"/>
      <name val="Calibri"/>
      <family val="0"/>
      <charset val="1"/>
    </font>
    <font>
      <sz val="10"/>
      <name val="Arial"/>
      <family val="2"/>
    </font>
    <font>
      <b val="true"/>
      <sz val="10"/>
      <color rgb="FFFFFFFF"/>
      <name val="Calibri"/>
      <family val="0"/>
      <charset val="1"/>
    </font>
    <font>
      <b val="true"/>
      <sz val="15"/>
      <color rgb="FF10B981"/>
      <name val="Calibri"/>
      <family val="0"/>
      <charset val="1"/>
    </font>
    <font>
      <sz val="9"/>
      <color rgb="FF0369A1"/>
      <name val="Calibri"/>
      <family val="0"/>
      <charset val="1"/>
    </font>
    <font>
      <b val="true"/>
      <sz val="9"/>
      <color rgb="FF334155"/>
      <name val="Calibri"/>
      <family val="0"/>
      <charset val="1"/>
    </font>
  </fonts>
  <fills count="38">
    <fill>
      <patternFill patternType="none"/>
    </fill>
    <fill>
      <patternFill patternType="gray125"/>
    </fill>
    <fill>
      <patternFill patternType="solid">
        <fgColor rgb="FF6366F1"/>
        <bgColor rgb="FF8B5CF6"/>
      </patternFill>
    </fill>
    <fill>
      <patternFill patternType="solid">
        <fgColor rgb="FF8B5CF6"/>
        <bgColor rgb="FF6366F1"/>
      </patternFill>
    </fill>
    <fill>
      <patternFill patternType="solid">
        <fgColor rgb="FF06B6D4"/>
        <bgColor rgb="FF14B8A6"/>
      </patternFill>
    </fill>
    <fill>
      <patternFill patternType="solid">
        <fgColor rgb="FF10B981"/>
        <bgColor rgb="FF14B8A6"/>
      </patternFill>
    </fill>
    <fill>
      <patternFill patternType="solid">
        <fgColor rgb="FFF472B6"/>
        <bgColor rgb="FFF43F5E"/>
      </patternFill>
    </fill>
    <fill>
      <patternFill patternType="solid">
        <fgColor rgb="FF14B8A6"/>
        <bgColor rgb="FF10B981"/>
      </patternFill>
    </fill>
    <fill>
      <patternFill patternType="solid">
        <fgColor rgb="FFF97316"/>
        <bgColor rgb="FFF43F5E"/>
      </patternFill>
    </fill>
    <fill>
      <patternFill patternType="solid">
        <fgColor rgb="FFA291F6"/>
        <bgColor rgb="FF8B5CF6"/>
      </patternFill>
    </fill>
    <fill>
      <patternFill patternType="solid">
        <fgColor rgb="FFFBBF24"/>
        <bgColor rgb="FFF97316"/>
      </patternFill>
    </fill>
    <fill>
      <patternFill patternType="solid">
        <fgColor rgb="FFF43F5E"/>
        <bgColor rgb="FFF97316"/>
      </patternFill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F7F8FC"/>
        <bgColor rgb="FFF8FAFC"/>
      </patternFill>
    </fill>
    <fill>
      <patternFill patternType="solid">
        <fgColor rgb="FFFFF7ED"/>
        <bgColor rgb="FFFEF9E7"/>
      </patternFill>
    </fill>
    <fill>
      <patternFill patternType="solid">
        <fgColor rgb="FFEEF2FF"/>
        <bgColor rgb="FFEFF6FF"/>
      </patternFill>
    </fill>
    <fill>
      <patternFill patternType="solid">
        <fgColor rgb="FFFDF2F8"/>
        <bgColor rgb="FFFDF4FF"/>
      </patternFill>
    </fill>
    <fill>
      <patternFill patternType="solid">
        <fgColor rgb="FFF0FDFA"/>
        <bgColor rgb="FFF0FDF4"/>
      </patternFill>
    </fill>
    <fill>
      <patternFill patternType="solid">
        <fgColor rgb="FFFEF9C3"/>
        <bgColor rgb="FFFFF9E6"/>
      </patternFill>
    </fill>
    <fill>
      <patternFill patternType="solid">
        <fgColor rgb="FFFFE4E6"/>
        <bgColor rgb="FFFEE2E2"/>
      </patternFill>
    </fill>
    <fill>
      <patternFill patternType="solid">
        <fgColor rgb="FFEFF6FF"/>
        <bgColor rgb="FFF1F5F9"/>
      </patternFill>
    </fill>
    <fill>
      <patternFill patternType="solid">
        <fgColor rgb="FFFFFFFF"/>
        <bgColor rgb="FFF8FBFF"/>
      </patternFill>
    </fill>
    <fill>
      <patternFill patternType="solid">
        <fgColor rgb="FFFFF8FC"/>
        <bgColor rgb="FFFDF4FF"/>
      </patternFill>
    </fill>
    <fill>
      <patternFill patternType="solid">
        <fgColor rgb="FFF5FFFE"/>
        <bgColor rgb="FFF0FDFA"/>
      </patternFill>
    </fill>
    <fill>
      <patternFill patternType="solid">
        <fgColor rgb="FFDCFCE7"/>
        <bgColor rgb="FFD5F5E3"/>
      </patternFill>
    </fill>
    <fill>
      <patternFill patternType="solid">
        <fgColor rgb="FFF8FBFF"/>
        <bgColor rgb="FFF8FAFC"/>
      </patternFill>
    </fill>
    <fill>
      <patternFill patternType="solid">
        <fgColor rgb="FFFDF4FF"/>
        <bgColor rgb="FFFDF2F8"/>
      </patternFill>
    </fill>
    <fill>
      <patternFill patternType="solid">
        <fgColor rgb="FFF0FDF4"/>
        <bgColor rgb="FFF0FDFA"/>
      </patternFill>
    </fill>
    <fill>
      <patternFill patternType="solid">
        <fgColor rgb="FFF8FAFC"/>
        <bgColor rgb="FFF8FBFF"/>
      </patternFill>
    </fill>
    <fill>
      <patternFill patternType="solid">
        <fgColor rgb="FFDBEAFE"/>
        <bgColor rgb="FFE2E8F0"/>
      </patternFill>
    </fill>
    <fill>
      <patternFill patternType="solid">
        <fgColor rgb="FFEDE9FE"/>
        <bgColor rgb="FFEEF2FF"/>
      </patternFill>
    </fill>
    <fill>
      <patternFill patternType="solid">
        <fgColor rgb="FFFFF9E6"/>
        <bgColor rgb="FFFEF9E7"/>
      </patternFill>
    </fill>
    <fill>
      <patternFill patternType="solid">
        <fgColor rgb="FFE0F2FE"/>
        <bgColor rgb="FFDBEAFE"/>
      </patternFill>
    </fill>
    <fill>
      <patternFill patternType="solid">
        <fgColor rgb="FFFFFBEB"/>
        <bgColor rgb="FFFEF9E7"/>
      </patternFill>
    </fill>
    <fill>
      <patternFill patternType="solid">
        <fgColor rgb="FFFEE2E2"/>
        <bgColor rgb="FFFFE4E6"/>
      </patternFill>
    </fill>
    <fill>
      <patternFill patternType="solid">
        <fgColor rgb="FFF5F3FF"/>
        <bgColor rgb="FFF1F5F9"/>
      </patternFill>
    </fill>
    <fill>
      <patternFill patternType="solid">
        <fgColor rgb="FFF1F5F9"/>
        <bgColor rgb="FFEFF6FF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6366F1"/>
      </bottom>
      <diagonal/>
    </border>
    <border diagonalUp="false" diagonalDown="false">
      <left/>
      <right/>
      <top/>
      <bottom style="medium">
        <color rgb="FF8B5CF6"/>
      </bottom>
      <diagonal/>
    </border>
    <border diagonalUp="false" diagonalDown="false">
      <left/>
      <right/>
      <top/>
      <bottom style="medium">
        <color rgb="FF06B6D4"/>
      </bottom>
      <diagonal/>
    </border>
    <border diagonalUp="false" diagonalDown="false">
      <left/>
      <right/>
      <top/>
      <bottom style="medium">
        <color rgb="FF10B981"/>
      </bottom>
      <diagonal/>
    </border>
    <border diagonalUp="false" diagonalDown="false">
      <left/>
      <right/>
      <top/>
      <bottom style="medium">
        <color rgb="FFF472B6"/>
      </bottom>
      <diagonal/>
    </border>
    <border diagonalUp="false" diagonalDown="false">
      <left/>
      <right/>
      <top/>
      <bottom style="medium">
        <color rgb="FF14B8A6"/>
      </bottom>
      <diagonal/>
    </border>
    <border diagonalUp="false" diagonalDown="false">
      <left/>
      <right/>
      <top/>
      <bottom style="medium">
        <color rgb="FFF97316"/>
      </bottom>
      <diagonal/>
    </border>
    <border diagonalUp="false" diagonalDown="false">
      <left/>
      <right/>
      <top/>
      <bottom style="medium">
        <color rgb="FFA291F6"/>
      </bottom>
      <diagonal/>
    </border>
    <border diagonalUp="false" diagonalDown="false">
      <left/>
      <right/>
      <top/>
      <bottom style="medium">
        <color rgb="FFFBBF24"/>
      </bottom>
      <diagonal/>
    </border>
    <border diagonalUp="false" diagonalDown="false">
      <left/>
      <right/>
      <top/>
      <bottom style="medium">
        <color rgb="FFF43F5E"/>
      </bottom>
      <diagonal/>
    </border>
    <border diagonalUp="false" diagonalDown="false">
      <left style="medium">
        <color rgb="FF6366F1"/>
      </left>
      <right style="thin">
        <color rgb="FF1E293B"/>
      </right>
      <top style="medium">
        <color rgb="FF6366F1"/>
      </top>
      <bottom style="medium">
        <color rgb="FF334155"/>
      </bottom>
      <diagonal/>
    </border>
    <border diagonalUp="false" diagonalDown="false">
      <left style="thin">
        <color rgb="FF1E293B"/>
      </left>
      <right style="thin">
        <color rgb="FF1E293B"/>
      </right>
      <top style="medium">
        <color rgb="FF6366F1"/>
      </top>
      <bottom style="medium">
        <color rgb="FF334155"/>
      </bottom>
      <diagonal/>
    </border>
    <border diagonalUp="false" diagonalDown="false">
      <left style="medium">
        <color rgb="FF8B5CF6"/>
      </left>
      <right style="thin">
        <color rgb="FF1E293B"/>
      </right>
      <top style="medium">
        <color rgb="FF8B5CF6"/>
      </top>
      <bottom style="medium">
        <color rgb="FF334155"/>
      </bottom>
      <diagonal/>
    </border>
    <border diagonalUp="false" diagonalDown="false">
      <left style="thin">
        <color rgb="FF1E293B"/>
      </left>
      <right style="thin">
        <color rgb="FF1E293B"/>
      </right>
      <top style="medium">
        <color rgb="FF8B5CF6"/>
      </top>
      <bottom style="medium">
        <color rgb="FF334155"/>
      </bottom>
      <diagonal/>
    </border>
    <border diagonalUp="false" diagonalDown="false">
      <left style="medium">
        <color rgb="FF06B6D4"/>
      </left>
      <right style="thin">
        <color rgb="FF1E293B"/>
      </right>
      <top style="medium">
        <color rgb="FF06B6D4"/>
      </top>
      <bottom style="medium">
        <color rgb="FF334155"/>
      </bottom>
      <diagonal/>
    </border>
    <border diagonalUp="false" diagonalDown="false">
      <left style="medium">
        <color rgb="FF10B981"/>
      </left>
      <right style="thin">
        <color rgb="FF1E293B"/>
      </right>
      <top style="medium">
        <color rgb="FF10B981"/>
      </top>
      <bottom style="medium">
        <color rgb="FF334155"/>
      </bottom>
      <diagonal/>
    </border>
    <border diagonalUp="false" diagonalDown="false">
      <left style="thin">
        <color rgb="FF1E293B"/>
      </left>
      <right style="thin">
        <color rgb="FF1E293B"/>
      </right>
      <top style="medium">
        <color rgb="FF10B981"/>
      </top>
      <bottom style="medium">
        <color rgb="FF334155"/>
      </bottom>
      <diagonal/>
    </border>
    <border diagonalUp="false" diagonalDown="false">
      <left style="medium">
        <color rgb="FFF472B6"/>
      </left>
      <right style="thin">
        <color rgb="FF1E293B"/>
      </right>
      <top style="medium">
        <color rgb="FFF472B6"/>
      </top>
      <bottom style="medium">
        <color rgb="FF334155"/>
      </bottom>
      <diagonal/>
    </border>
    <border diagonalUp="false" diagonalDown="false">
      <left style="thin">
        <color rgb="FF1E293B"/>
      </left>
      <right style="thin">
        <color rgb="FF1E293B"/>
      </right>
      <top style="medium">
        <color rgb="FFF472B6"/>
      </top>
      <bottom style="medium">
        <color rgb="FF334155"/>
      </bottom>
      <diagonal/>
    </border>
    <border diagonalUp="false" diagonalDown="false">
      <left style="medium">
        <color rgb="FF14B8A6"/>
      </left>
      <right style="thin">
        <color rgb="FF1E293B"/>
      </right>
      <top style="medium">
        <color rgb="FF14B8A6"/>
      </top>
      <bottom style="medium">
        <color rgb="FF334155"/>
      </bottom>
      <diagonal/>
    </border>
    <border diagonalUp="false" diagonalDown="false">
      <left style="thin">
        <color rgb="FF1E293B"/>
      </left>
      <right style="thin">
        <color rgb="FF1E293B"/>
      </right>
      <top style="medium">
        <color rgb="FF14B8A6"/>
      </top>
      <bottom style="medium">
        <color rgb="FF334155"/>
      </bottom>
      <diagonal/>
    </border>
    <border diagonalUp="false" diagonalDown="false">
      <left style="medium">
        <color rgb="FFF97316"/>
      </left>
      <right style="thin">
        <color rgb="FF1E293B"/>
      </right>
      <top style="medium">
        <color rgb="FFF97316"/>
      </top>
      <bottom style="medium">
        <color rgb="FF334155"/>
      </bottom>
      <diagonal/>
    </border>
    <border diagonalUp="false" diagonalDown="false">
      <left style="thin">
        <color rgb="FF1E293B"/>
      </left>
      <right style="thin">
        <color rgb="FF1E293B"/>
      </right>
      <top style="medium">
        <color rgb="FFF97316"/>
      </top>
      <bottom style="medium">
        <color rgb="FF334155"/>
      </bottom>
      <diagonal/>
    </border>
    <border diagonalUp="false" diagonalDown="false">
      <left style="medium">
        <color rgb="FFA291F6"/>
      </left>
      <right style="thin">
        <color rgb="FF1E293B"/>
      </right>
      <top style="medium">
        <color rgb="FFA291F6"/>
      </top>
      <bottom style="medium">
        <color rgb="FF334155"/>
      </bottom>
      <diagonal/>
    </border>
    <border diagonalUp="false" diagonalDown="false">
      <left style="thin">
        <color rgb="FF1E293B"/>
      </left>
      <right style="thin">
        <color rgb="FF1E293B"/>
      </right>
      <top style="medium">
        <color rgb="FFA291F6"/>
      </top>
      <bottom style="medium">
        <color rgb="FF334155"/>
      </bottom>
      <diagonal/>
    </border>
    <border diagonalUp="false" diagonalDown="false">
      <left style="medium">
        <color rgb="FFFBBF24"/>
      </left>
      <right style="thin">
        <color rgb="FF1E293B"/>
      </right>
      <top style="medium">
        <color rgb="FFFBBF24"/>
      </top>
      <bottom style="medium">
        <color rgb="FF334155"/>
      </bottom>
      <diagonal/>
    </border>
    <border diagonalUp="false" diagonalDown="false">
      <left style="medium">
        <color rgb="FFF43F5E"/>
      </left>
      <right style="thin">
        <color rgb="FF1E293B"/>
      </right>
      <top style="medium">
        <color rgb="FFF43F5E"/>
      </top>
      <bottom style="medium">
        <color rgb="FF334155"/>
      </bottom>
      <diagonal/>
    </border>
    <border diagonalUp="false" diagonalDown="false">
      <left style="thin">
        <color rgb="FF1E293B"/>
      </left>
      <right style="thin">
        <color rgb="FF1E293B"/>
      </right>
      <top style="medium">
        <color rgb="FFF43F5E"/>
      </top>
      <bottom style="medium">
        <color rgb="FF334155"/>
      </bottom>
      <diagonal/>
    </border>
    <border diagonalUp="false" diagonalDown="false">
      <left style="medium">
        <color rgb="FF6366F1"/>
      </left>
      <right/>
      <top/>
      <bottom style="medium">
        <color rgb="FF6366F1"/>
      </bottom>
      <diagonal/>
    </border>
    <border diagonalUp="false" diagonalDown="false">
      <left style="thin">
        <color rgb="FF334155"/>
      </left>
      <right/>
      <top/>
      <bottom style="medium">
        <color rgb="FF6366F1"/>
      </bottom>
      <diagonal/>
    </border>
    <border diagonalUp="false" diagonalDown="false">
      <left style="medium">
        <color rgb="FF8B5CF6"/>
      </left>
      <right/>
      <top/>
      <bottom style="medium">
        <color rgb="FF6366F1"/>
      </bottom>
      <diagonal/>
    </border>
    <border diagonalUp="false" diagonalDown="false">
      <left style="medium">
        <color rgb="FF06B6D4"/>
      </left>
      <right/>
      <top/>
      <bottom style="medium">
        <color rgb="FF6366F1"/>
      </bottom>
      <diagonal/>
    </border>
    <border diagonalUp="false" diagonalDown="false">
      <left style="medium">
        <color rgb="FF10B981"/>
      </left>
      <right/>
      <top/>
      <bottom style="medium">
        <color rgb="FF6366F1"/>
      </bottom>
      <diagonal/>
    </border>
    <border diagonalUp="false" diagonalDown="false">
      <left style="medium">
        <color rgb="FFF472B6"/>
      </left>
      <right/>
      <top/>
      <bottom style="medium">
        <color rgb="FF6366F1"/>
      </bottom>
      <diagonal/>
    </border>
    <border diagonalUp="false" diagonalDown="false">
      <left style="medium">
        <color rgb="FF14B8A6"/>
      </left>
      <right/>
      <top/>
      <bottom style="medium">
        <color rgb="FF6366F1"/>
      </bottom>
      <diagonal/>
    </border>
    <border diagonalUp="false" diagonalDown="false">
      <left style="medium">
        <color rgb="FFF97316"/>
      </left>
      <right/>
      <top/>
      <bottom style="medium">
        <color rgb="FF6366F1"/>
      </bottom>
      <diagonal/>
    </border>
    <border diagonalUp="false" diagonalDown="false">
      <left style="medium">
        <color rgb="FFA291F6"/>
      </left>
      <right/>
      <top/>
      <bottom style="medium">
        <color rgb="FF6366F1"/>
      </bottom>
      <diagonal/>
    </border>
    <border diagonalUp="false" diagonalDown="false">
      <left style="medium">
        <color rgb="FFFBBF24"/>
      </left>
      <right/>
      <top/>
      <bottom style="medium">
        <color rgb="FF6366F1"/>
      </bottom>
      <diagonal/>
    </border>
    <border diagonalUp="false" diagonalDown="false">
      <left style="medium">
        <color rgb="FFF43F5E"/>
      </left>
      <right/>
      <top/>
      <bottom style="medium">
        <color rgb="FF6366F1"/>
      </bottom>
      <diagonal/>
    </border>
    <border diagonalUp="false" diagonalDown="false">
      <left style="medium">
        <color rgb="FF6366F1"/>
      </left>
      <right/>
      <top/>
      <bottom style="thin">
        <color rgb="FFE2E8F0"/>
      </bottom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 style="medium">
        <color rgb="FF8B5CF6"/>
      </left>
      <right/>
      <top/>
      <bottom style="thin">
        <color rgb="FFE2E8F0"/>
      </bottom>
      <diagonal/>
    </border>
    <border diagonalUp="false" diagonalDown="false">
      <left style="medium">
        <color rgb="FF06B6D4"/>
      </left>
      <right/>
      <top/>
      <bottom style="thin">
        <color rgb="FFE2E8F0"/>
      </bottom>
      <diagonal/>
    </border>
    <border diagonalUp="false" diagonalDown="false">
      <left style="medium">
        <color rgb="FF10B981"/>
      </left>
      <right/>
      <top/>
      <bottom style="thin">
        <color rgb="FFE2E8F0"/>
      </bottom>
      <diagonal/>
    </border>
    <border diagonalUp="false" diagonalDown="false">
      <left style="medium">
        <color rgb="FFF472B6"/>
      </left>
      <right/>
      <top/>
      <bottom style="thin">
        <color rgb="FFE2E8F0"/>
      </bottom>
      <diagonal/>
    </border>
    <border diagonalUp="false" diagonalDown="false">
      <left style="medium">
        <color rgb="FF14B8A6"/>
      </left>
      <right/>
      <top/>
      <bottom style="thin">
        <color rgb="FFE2E8F0"/>
      </bottom>
      <diagonal/>
    </border>
    <border diagonalUp="false" diagonalDown="false">
      <left style="medium">
        <color rgb="FFF97316"/>
      </left>
      <right/>
      <top/>
      <bottom style="thin">
        <color rgb="FFE2E8F0"/>
      </bottom>
      <diagonal/>
    </border>
    <border diagonalUp="false" diagonalDown="false">
      <left style="medium">
        <color rgb="FFA291F6"/>
      </left>
      <right/>
      <top/>
      <bottom style="thin">
        <color rgb="FFE2E8F0"/>
      </bottom>
      <diagonal/>
    </border>
    <border diagonalUp="false" diagonalDown="false">
      <left style="medium">
        <color rgb="FFFBBF24"/>
      </left>
      <right/>
      <top/>
      <bottom style="thin">
        <color rgb="FFE2E8F0"/>
      </bottom>
      <diagonal/>
    </border>
    <border diagonalUp="false" diagonalDown="false">
      <left style="medium">
        <color rgb="FFF43F5E"/>
      </left>
      <right/>
      <top/>
      <bottom style="thin">
        <color rgb="FFE2E8F0"/>
      </bottom>
      <diagonal/>
    </border>
    <border diagonalUp="false" diagonalDown="false">
      <left style="thin">
        <color rgb="FF1E293B"/>
      </left>
      <right style="thin">
        <color rgb="FF1E293B"/>
      </right>
      <top style="medium">
        <color rgb="FF06B6D4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3" borderId="3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13" borderId="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3" borderId="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3" borderId="3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13" borderId="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4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4" borderId="4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4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4" borderId="4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14" borderId="4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14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14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4" borderId="4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7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18" borderId="4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18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4" borderId="4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19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1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1" borderId="5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21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2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22" borderId="4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22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2" borderId="4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22" borderId="4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22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22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22" borderId="4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23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24" borderId="4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24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22" borderId="4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2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25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2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6" borderId="5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26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9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5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7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1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2" borderId="4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2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4" borderId="4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28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1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1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4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2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2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1" fillId="2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9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5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2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3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5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1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9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22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2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6" fillId="32" borderId="5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6" fillId="32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4" borderId="4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4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4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1" fillId="1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33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1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1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6" fillId="34" borderId="5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6" fillId="34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35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6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9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7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4" fillId="1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4" fillId="1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2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5" fillId="2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6" fillId="22" borderId="4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6" fillId="22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7" fillId="22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5" fillId="14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6" fillId="14" borderId="4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6" fillId="14" borderId="4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7" fillId="1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F172A"/>
          <bgColor rgb="FF000000"/>
        </patternFill>
      </fill>
    </dxf>
    <dxf>
      <fill>
        <patternFill patternType="solid">
          <fgColor rgb="FF636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Calibri"/>
        <charset val="1"/>
        <family val="0"/>
        <b val="1"/>
        <color rgb="FF1E8449"/>
        <sz val="9"/>
      </font>
      <fill>
        <patternFill>
          <bgColor rgb="FFD5F5E3"/>
        </patternFill>
      </fill>
    </dxf>
    <dxf>
      <font>
        <name val="Calibri"/>
        <charset val="1"/>
        <family val="0"/>
        <b val="1"/>
        <color rgb="FF922B21"/>
        <sz val="9"/>
      </font>
      <fill>
        <patternFill>
          <bgColor rgb="FFFADBD8"/>
        </patternFill>
      </fill>
    </dxf>
    <dxf>
      <font>
        <name val="Calibri"/>
        <charset val="1"/>
        <family val="0"/>
        <b val="1"/>
        <color rgb="FF1E8449"/>
        <sz val="10"/>
      </font>
      <fill>
        <patternFill>
          <bgColor rgb="FFD5F5E3"/>
        </patternFill>
      </fill>
    </dxf>
    <dxf>
      <font>
        <name val="Calibri"/>
        <charset val="1"/>
        <family val="0"/>
        <b val="1"/>
        <color rgb="FF7D6608"/>
        <sz val="10"/>
      </font>
      <fill>
        <patternFill>
          <bgColor rgb="FFFEF9E7"/>
        </patternFill>
      </fill>
    </dxf>
    <dxf>
      <font>
        <name val="Calibri"/>
        <charset val="1"/>
        <family val="0"/>
        <b val="1"/>
        <color rgb="FF922B21"/>
        <sz val="10"/>
      </font>
      <fill>
        <patternFill>
          <bgColor rgb="FFFADBD8"/>
        </patternFill>
      </fill>
    </dxf>
    <dxf>
      <font>
        <name val="Calibri"/>
        <charset val="1"/>
        <family val="0"/>
        <b val="1"/>
        <color rgb="FF15803D"/>
        <sz val="9"/>
      </font>
      <fill>
        <patternFill>
          <bgColor rgb="FFDCFCE7"/>
        </patternFill>
      </fill>
    </dxf>
    <dxf>
      <font>
        <name val="Calibri"/>
        <charset val="1"/>
        <family val="0"/>
        <b val="1"/>
        <color rgb="FFBE123C"/>
        <sz val="9"/>
      </font>
      <fill>
        <patternFill>
          <bgColor rgb="FFFFE4E6"/>
        </patternFill>
      </fill>
    </dxf>
  </dxfs>
  <colors>
    <indexedColors>
      <rgbColor rgb="FF000000"/>
      <rgbColor rgb="FFFFFFFF"/>
      <rgbColor rgb="FFF43F5E"/>
      <rgbColor rgb="FFF0FDF4"/>
      <rgbColor rgb="FFF0FDFA"/>
      <rgbColor rgb="FFFEF9E7"/>
      <rgbColor rgb="FFFDF2F8"/>
      <rgbColor rgb="FFEEF2FF"/>
      <rgbColor rgb="FF9D132C"/>
      <rgbColor rgb="FF137F3F"/>
      <rgbColor rgb="FFF8FBFF"/>
      <rgbColor rgb="FF815A09"/>
      <rgbColor rgb="FF7624D5"/>
      <rgbColor rgb="FF166534"/>
      <rgbColor rgb="FFE2E8F0"/>
      <rgbColor rgb="FF475569"/>
      <rgbColor rgb="FFA291F6"/>
      <rgbColor rgb="FF92400E"/>
      <rgbColor rgb="FFFEF9C3"/>
      <rgbColor rgb="FFDCFCE7"/>
      <rgbColor rgb="FFF7F8FC"/>
      <rgbColor rgb="FFF472B6"/>
      <rgbColor rgb="FF0369A1"/>
      <rgbColor rgb="FFDBEAFE"/>
      <rgbColor rgb="FFF5FFFE"/>
      <rgbColor rgb="FFF5F3FF"/>
      <rgbColor rgb="FFFFFBEB"/>
      <rgbColor rgb="FFEFF6FF"/>
      <rgbColor rgb="FFFDF4FF"/>
      <rgbColor rgb="FFFFF8FC"/>
      <rgbColor rgb="FF10B981"/>
      <rgbColor rgb="FFF8FAFC"/>
      <rgbColor rgb="FF06B6D4"/>
      <rgbColor rgb="FFE0F2FE"/>
      <rgbColor rgb="FFD5F5E3"/>
      <rgbColor rgb="FFFFF9E6"/>
      <rgbColor rgb="FFEDE9FE"/>
      <rgbColor rgb="FFFEE2E2"/>
      <rgbColor rgb="FFFFE4E6"/>
      <rgbColor rgb="FFFADBD8"/>
      <rgbColor rgb="FF6366F1"/>
      <rgbColor rgb="FF14B8A6"/>
      <rgbColor rgb="FFF1F5F9"/>
      <rgbColor rgb="FFFBBF24"/>
      <rgbColor rgb="FFFFF7ED"/>
      <rgbColor rgb="FFF97316"/>
      <rgbColor rgb="FF64748B"/>
      <rgbColor rgb="FF8B5CF6"/>
      <rgbColor rgb="FF1D45C4"/>
      <rgbColor rgb="FF1E8449"/>
      <rgbColor rgb="FF0F172A"/>
      <rgbColor rgb="FF334155"/>
      <rgbColor rgb="FF952D18"/>
      <rgbColor rgb="FFBE123C"/>
      <rgbColor rgb="FF4325AD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monika@nexora.live" TargetMode="External"/><Relationship Id="rId3" Type="http://schemas.openxmlformats.org/officeDocument/2006/relationships/hyperlink" Target="mailto:ashutosh@nexora.live" TargetMode="External"/><Relationship Id="rId4" Type="http://schemas.openxmlformats.org/officeDocument/2006/relationships/hyperlink" Target="mailto:prince@nexora.live" TargetMode="External"/><Relationship Id="rId5" Type="http://schemas.openxmlformats.org/officeDocument/2006/relationships/hyperlink" Target="mailto:waman@nexora.live" TargetMode="External"/><Relationship Id="rId6" Type="http://schemas.openxmlformats.org/officeDocument/2006/relationships/hyperlink" Target="mailto:nair@nexora.live" TargetMode="External"/><Relationship Id="rId7" Type="http://schemas.openxmlformats.org/officeDocument/2006/relationships/hyperlink" Target="mailto:sushil@nexora.live" TargetMode="External"/><Relationship Id="rId8" Type="http://schemas.openxmlformats.org/officeDocument/2006/relationships/hyperlink" Target="mailto:saurabh.s@nexora.live" TargetMode="External"/><Relationship Id="rId9" Type="http://schemas.openxmlformats.org/officeDocument/2006/relationships/hyperlink" Target="mailto:ritesh@nexora.live" TargetMode="External"/><Relationship Id="rId10" Type="http://schemas.openxmlformats.org/officeDocument/2006/relationships/hyperlink" Target="mailto:sneha@nexora.live" TargetMode="External"/><Relationship Id="rId11" Type="http://schemas.openxmlformats.org/officeDocument/2006/relationships/hyperlink" Target="mailto:aslam.k@nexora.live" TargetMode="External"/><Relationship Id="rId12" Type="http://schemas.openxmlformats.org/officeDocument/2006/relationships/hyperlink" Target="mailto:shambu@nexora.live" TargetMode="External"/><Relationship Id="rId13" Type="http://schemas.openxmlformats.org/officeDocument/2006/relationships/hyperlink" Target="mailto:suresh@nexora.live" TargetMode="External"/><Relationship Id="rId14" Type="http://schemas.openxmlformats.org/officeDocument/2006/relationships/hyperlink" Target="mailto:aamir@nexora.live" TargetMode="External"/><Relationship Id="rId15" Type="http://schemas.openxmlformats.org/officeDocument/2006/relationships/hyperlink" Target="mailto:yatin@nexora.live" TargetMode="External"/><Relationship Id="rId16" Type="http://schemas.openxmlformats.org/officeDocument/2006/relationships/hyperlink" Target="mailto:sandeep@nexora.live" TargetMode="External"/><Relationship Id="rId17" Type="http://schemas.openxmlformats.org/officeDocument/2006/relationships/hyperlink" Target="mailto:arjun.u@nexora.live" TargetMode="External"/><Relationship Id="rId18" Type="http://schemas.openxmlformats.org/officeDocument/2006/relationships/hyperlink" Target="mailto:ashpreet.k@nexora.live" TargetMode="External"/><Relationship Id="rId19" Type="http://schemas.openxmlformats.org/officeDocument/2006/relationships/hyperlink" Target="mailto:maaz@nexora.live" TargetMode="External"/><Relationship Id="rId20" Type="http://schemas.openxmlformats.org/officeDocument/2006/relationships/hyperlink" Target="mailto:abhishek.k@nexora.live" TargetMode="External"/><Relationship Id="rId21" Type="http://schemas.openxmlformats.org/officeDocument/2006/relationships/hyperlink" Target="mailto:sonal@nexora.live" TargetMode="External"/><Relationship Id="rId22" Type="http://schemas.openxmlformats.org/officeDocument/2006/relationships/hyperlink" Target="mailto:sachin.g@nexora.live" TargetMode="External"/><Relationship Id="rId23" Type="http://schemas.openxmlformats.org/officeDocument/2006/relationships/hyperlink" Target="mailto:kawaljit.k@nexora.live" TargetMode="External"/><Relationship Id="rId24" Type="http://schemas.openxmlformats.org/officeDocument/2006/relationships/hyperlink" Target="mailto:chandan.y@nexora.live" TargetMode="External"/><Relationship Id="rId25" Type="http://schemas.openxmlformats.org/officeDocument/2006/relationships/hyperlink" Target="mailto:fahrukh@nexora.live" TargetMode="External"/><Relationship Id="rId26" Type="http://schemas.openxmlformats.org/officeDocument/2006/relationships/hyperlink" Target="mailto:anuj.s@nexora.live" TargetMode="External"/><Relationship Id="rId27" Type="http://schemas.openxmlformats.org/officeDocument/2006/relationships/hyperlink" Target="mailto:irfan@nexora.live" TargetMode="External"/><Relationship Id="rId28" Type="http://schemas.openxmlformats.org/officeDocument/2006/relationships/hyperlink" Target="mailto:riddhi@nexora.live" TargetMode="External"/><Relationship Id="rId29" Type="http://schemas.openxmlformats.org/officeDocument/2006/relationships/hyperlink" Target="mailto:madhur@nexora.live" TargetMode="External"/><Relationship Id="rId30" Type="http://schemas.openxmlformats.org/officeDocument/2006/relationships/hyperlink" Target="mailto:deepa.negi@nexora.live" TargetMode="External"/><Relationship Id="rId31" Type="http://schemas.openxmlformats.org/officeDocument/2006/relationships/hyperlink" Target="mailto:sangita.m@nexora.live" TargetMode="External"/><Relationship Id="rId32" Type="http://schemas.openxmlformats.org/officeDocument/2006/relationships/hyperlink" Target="mailto:adharv@nexora.live" TargetMode="External"/><Relationship Id="rId33" Type="http://schemas.openxmlformats.org/officeDocument/2006/relationships/hyperlink" Target="mailto:advit@nexora.live" TargetMode="External"/><Relationship Id="rId34" Type="http://schemas.openxmlformats.org/officeDocument/2006/relationships/hyperlink" Target="mailto:anjali@nexora.live" TargetMode="External"/><Relationship Id="rId35" Type="http://schemas.openxmlformats.org/officeDocument/2006/relationships/hyperlink" Target="mailto:ankita@nexora.live" TargetMode="External"/><Relationship Id="rId36" Type="http://schemas.openxmlformats.org/officeDocument/2006/relationships/hyperlink" Target="mailto:mitali@nexora.live" TargetMode="External"/><Relationship Id="rId37" Type="http://schemas.openxmlformats.org/officeDocument/2006/relationships/hyperlink" Target="mailto:amrit@nexora.live" TargetMode="External"/><Relationship Id="rId38" Type="http://schemas.openxmlformats.org/officeDocument/2006/relationships/hyperlink" Target="mailto:haresh@nexora.live" TargetMode="External"/><Relationship Id="rId39" Type="http://schemas.openxmlformats.org/officeDocument/2006/relationships/hyperlink" Target="mailto:siddhesh@nexora.live" TargetMode="External"/><Relationship Id="rId40" Type="http://schemas.openxmlformats.org/officeDocument/2006/relationships/hyperlink" Target="mailto:reeya@nexora.live" TargetMode="External"/><Relationship Id="rId41" Type="http://schemas.openxmlformats.org/officeDocument/2006/relationships/drawing" Target="../drawings/drawing2.xml"/><Relationship Id="rId4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true"/>
  </sheetPr>
  <dimension ref="A1:AO47"/>
  <sheetViews>
    <sheetView showFormulas="false" showGridLines="false" showRowColHeaders="true" showZeros="true" rightToLeft="false" tabSelected="true" showOutlineSymbols="true" defaultGridColor="true" view="normal" topLeftCell="N38" colorId="64" zoomScale="100" zoomScaleNormal="100" zoomScalePageLayoutView="100" workbookViewId="0">
      <pane xSplit="3" ySplit="3" topLeftCell="D4" activePane="bottomRight" state="frozen"/>
      <selection pane="topLeft" activeCell="N38" activeCellId="0" sqref="N38"/>
      <selection pane="topRight" activeCell="D38" activeCellId="0" sqref="D38"/>
      <selection pane="bottomLeft" activeCell="N4" activeCellId="0" sqref="N4"/>
      <selection pane="bottomRight" activeCell="AH41" activeCellId="0" sqref="AH4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10"/>
    <col collapsed="false" customWidth="true" hidden="false" outlineLevel="0" max="10" min="9" style="1" width="9"/>
    <col collapsed="false" customWidth="true" hidden="false" outlineLevel="0" max="12" min="11" style="1" width="11"/>
    <col collapsed="false" customWidth="true" hidden="false" outlineLevel="0" max="13" min="13" style="1" width="12"/>
    <col collapsed="false" customWidth="true" hidden="false" outlineLevel="0" max="15" min="14" style="1" width="9"/>
    <col collapsed="false" customWidth="true" hidden="false" outlineLevel="0" max="16" min="16" style="1" width="8"/>
    <col collapsed="false" customWidth="true" hidden="false" outlineLevel="0" max="18" min="17" style="1" width="12"/>
    <col collapsed="false" customWidth="true" hidden="false" outlineLevel="0" max="19" min="19" style="1" width="14"/>
    <col collapsed="false" customWidth="true" hidden="false" outlineLevel="0" max="20" min="20" style="1" width="17"/>
    <col collapsed="false" customWidth="true" hidden="false" outlineLevel="0" max="21" min="21" style="1" width="13"/>
    <col collapsed="false" customWidth="true" hidden="false" outlineLevel="0" max="22" min="22" style="1" width="14"/>
    <col collapsed="false" customWidth="true" hidden="false" outlineLevel="0" max="23" min="23" style="1" width="10"/>
    <col collapsed="false" customWidth="true" hidden="false" outlineLevel="0" max="24" min="24" style="1" width="13"/>
    <col collapsed="false" customWidth="true" hidden="false" outlineLevel="0" max="25" min="25" style="1" width="9"/>
    <col collapsed="false" customWidth="true" hidden="false" outlineLevel="0" max="26" min="26" style="1" width="11"/>
    <col collapsed="false" customWidth="true" hidden="false" outlineLevel="0" max="28" min="27" style="1" width="9"/>
    <col collapsed="false" customWidth="true" hidden="false" outlineLevel="0" max="29" min="29" style="1" width="12"/>
    <col collapsed="false" customWidth="true" hidden="false" outlineLevel="0" max="30" min="30" style="1" width="11"/>
    <col collapsed="false" customWidth="true" hidden="false" outlineLevel="0" max="31" min="31" style="1" width="10"/>
    <col collapsed="false" customWidth="true" hidden="false" outlineLevel="0" max="32" min="32" style="1" width="7"/>
    <col collapsed="false" customWidth="true" hidden="false" outlineLevel="0" max="33" min="33" style="1" width="10"/>
    <col collapsed="false" customWidth="true" hidden="false" outlineLevel="0" max="34" min="34" style="1" width="13"/>
    <col collapsed="false" customWidth="true" hidden="false" outlineLevel="0" max="35" min="35" style="1" width="15"/>
    <col collapsed="false" customWidth="true" hidden="false" outlineLevel="0" max="36" min="36" style="1" width="14"/>
    <col collapsed="false" customWidth="true" hidden="false" outlineLevel="0" max="37" min="37" style="1" width="11"/>
    <col collapsed="false" customWidth="true" hidden="false" outlineLevel="0" max="38" min="38" style="1" width="13"/>
    <col collapsed="false" customWidth="true" hidden="false" outlineLevel="0" max="39" min="39" style="1" width="12"/>
    <col collapsed="false" customWidth="true" hidden="false" outlineLevel="0" max="41" min="40" style="1" width="13"/>
  </cols>
  <sheetData>
    <row r="1" customFormat="false" ht="13.5" hidden="false" customHeight="true" outlineLevel="0" collapsed="false">
      <c r="A1" s="2" t="s">
        <v>0</v>
      </c>
      <c r="B1" s="2"/>
      <c r="C1" s="2"/>
      <c r="D1" s="3" t="s">
        <v>1</v>
      </c>
      <c r="E1" s="3"/>
      <c r="F1" s="3"/>
      <c r="G1" s="4" t="s">
        <v>2</v>
      </c>
      <c r="H1" s="5" t="s">
        <v>3</v>
      </c>
      <c r="I1" s="5"/>
      <c r="J1" s="5"/>
      <c r="K1" s="5"/>
      <c r="L1" s="5"/>
      <c r="M1" s="5"/>
      <c r="N1" s="6" t="s">
        <v>4</v>
      </c>
      <c r="O1" s="6"/>
      <c r="P1" s="6"/>
      <c r="Q1" s="6"/>
      <c r="R1" s="6"/>
      <c r="S1" s="7" t="s">
        <v>5</v>
      </c>
      <c r="T1" s="7"/>
      <c r="U1" s="7"/>
      <c r="V1" s="7"/>
      <c r="W1" s="8" t="s">
        <v>6</v>
      </c>
      <c r="X1" s="8"/>
      <c r="Y1" s="8"/>
      <c r="Z1" s="8"/>
      <c r="AA1" s="9" t="s">
        <v>7</v>
      </c>
      <c r="AB1" s="9"/>
      <c r="AC1" s="9"/>
      <c r="AD1" s="9"/>
      <c r="AE1" s="9"/>
      <c r="AF1" s="10" t="s">
        <v>8</v>
      </c>
      <c r="AG1" s="11" t="s">
        <v>9</v>
      </c>
      <c r="AH1" s="11"/>
      <c r="AI1" s="11"/>
      <c r="AJ1" s="11"/>
      <c r="AK1" s="11"/>
      <c r="AL1" s="11"/>
      <c r="AM1" s="11"/>
      <c r="AN1" s="11"/>
      <c r="AO1" s="11"/>
    </row>
    <row r="2" customFormat="false" ht="39.75" hidden="false" customHeight="true" outlineLevel="0" collapsed="false">
      <c r="A2" s="12" t="s">
        <v>10</v>
      </c>
      <c r="B2" s="13" t="s">
        <v>11</v>
      </c>
      <c r="C2" s="13" t="s">
        <v>12</v>
      </c>
      <c r="D2" s="14" t="s">
        <v>13</v>
      </c>
      <c r="E2" s="15" t="s">
        <v>14</v>
      </c>
      <c r="F2" s="15" t="s">
        <v>15</v>
      </c>
      <c r="G2" s="16" t="s">
        <v>16</v>
      </c>
      <c r="H2" s="17" t="s">
        <v>17</v>
      </c>
      <c r="I2" s="18" t="s">
        <v>18</v>
      </c>
      <c r="J2" s="18" t="s">
        <v>19</v>
      </c>
      <c r="K2" s="18" t="s">
        <v>20</v>
      </c>
      <c r="L2" s="18" t="s">
        <v>21</v>
      </c>
      <c r="M2" s="18" t="s">
        <v>22</v>
      </c>
      <c r="N2" s="19" t="s">
        <v>23</v>
      </c>
      <c r="O2" s="20" t="s">
        <v>24</v>
      </c>
      <c r="P2" s="20" t="s">
        <v>25</v>
      </c>
      <c r="Q2" s="20" t="s">
        <v>26</v>
      </c>
      <c r="R2" s="20" t="s">
        <v>27</v>
      </c>
      <c r="S2" s="21" t="s">
        <v>28</v>
      </c>
      <c r="T2" s="22" t="s">
        <v>29</v>
      </c>
      <c r="U2" s="22" t="s">
        <v>30</v>
      </c>
      <c r="V2" s="22" t="s">
        <v>31</v>
      </c>
      <c r="W2" s="23" t="s">
        <v>32</v>
      </c>
      <c r="X2" s="24" t="s">
        <v>33</v>
      </c>
      <c r="Y2" s="24" t="s">
        <v>34</v>
      </c>
      <c r="Z2" s="24" t="s">
        <v>35</v>
      </c>
      <c r="AA2" s="25" t="s">
        <v>36</v>
      </c>
      <c r="AB2" s="26" t="s">
        <v>37</v>
      </c>
      <c r="AC2" s="26" t="s">
        <v>38</v>
      </c>
      <c r="AD2" s="26" t="s">
        <v>39</v>
      </c>
      <c r="AE2" s="26" t="s">
        <v>40</v>
      </c>
      <c r="AF2" s="27" t="s">
        <v>41</v>
      </c>
      <c r="AG2" s="28" t="s">
        <v>42</v>
      </c>
      <c r="AH2" s="29" t="s">
        <v>43</v>
      </c>
      <c r="AI2" s="29" t="s">
        <v>44</v>
      </c>
      <c r="AJ2" s="29" t="s">
        <v>45</v>
      </c>
      <c r="AK2" s="29" t="s">
        <v>46</v>
      </c>
      <c r="AL2" s="29" t="s">
        <v>47</v>
      </c>
      <c r="AM2" s="29" t="s">
        <v>48</v>
      </c>
      <c r="AN2" s="29" t="s">
        <v>49</v>
      </c>
      <c r="AO2" s="29" t="s">
        <v>50</v>
      </c>
    </row>
    <row r="3" customFormat="false" ht="19.5" hidden="false" customHeight="true" outlineLevel="0" collapsed="false">
      <c r="A3" s="30" t="s">
        <v>51</v>
      </c>
      <c r="B3" s="31"/>
      <c r="C3" s="31"/>
      <c r="D3" s="32"/>
      <c r="E3" s="31"/>
      <c r="F3" s="31"/>
      <c r="G3" s="33"/>
      <c r="H3" s="34" t="n">
        <f aca="false">AVERAGE(H4:H47)</f>
        <v>38.2954545454546</v>
      </c>
      <c r="I3" s="35" t="n">
        <f aca="false">AVERAGE(I4:I47)</f>
        <v>73.6944186046512</v>
      </c>
      <c r="J3" s="31"/>
      <c r="K3" s="36" t="n">
        <f aca="false">AVERAGE(K4:K47)</f>
        <v>11.2954545454545</v>
      </c>
      <c r="L3" s="31"/>
      <c r="M3" s="31"/>
      <c r="N3" s="37"/>
      <c r="O3" s="31"/>
      <c r="P3" s="31"/>
      <c r="Q3" s="31"/>
      <c r="R3" s="31"/>
      <c r="S3" s="38"/>
      <c r="T3" s="31"/>
      <c r="U3" s="31"/>
      <c r="V3" s="31"/>
      <c r="W3" s="39"/>
      <c r="X3" s="31"/>
      <c r="Y3" s="31"/>
      <c r="Z3" s="31"/>
      <c r="AA3" s="40"/>
      <c r="AB3" s="31"/>
      <c r="AC3" s="31"/>
      <c r="AD3" s="31"/>
      <c r="AE3" s="31"/>
      <c r="AF3" s="41"/>
      <c r="AG3" s="42" t="n">
        <f aca="false">AVERAGE(AG4:AG47)</f>
        <v>114.318181818182</v>
      </c>
      <c r="AH3" s="31"/>
      <c r="AI3" s="31"/>
      <c r="AJ3" s="31"/>
      <c r="AK3" s="31"/>
      <c r="AL3" s="31"/>
      <c r="AM3" s="31"/>
      <c r="AN3" s="43" t="n">
        <f aca="false">SUM(AN4:AN47)</f>
        <v>593168.4505</v>
      </c>
      <c r="AO3" s="31"/>
    </row>
    <row r="4" customFormat="false" ht="21.75" hidden="false" customHeight="true" outlineLevel="0" collapsed="false">
      <c r="A4" s="44" t="s">
        <v>52</v>
      </c>
      <c r="B4" s="45" t="s">
        <v>53</v>
      </c>
      <c r="C4" s="46" t="s">
        <v>54</v>
      </c>
      <c r="D4" s="47" t="n">
        <v>20</v>
      </c>
      <c r="E4" s="48" t="n">
        <v>16</v>
      </c>
      <c r="F4" s="48" t="n">
        <v>4</v>
      </c>
      <c r="G4" s="49" t="s">
        <v>55</v>
      </c>
      <c r="H4" s="50" t="n">
        <v>2</v>
      </c>
      <c r="I4" s="51" t="n">
        <v>10</v>
      </c>
      <c r="J4" s="52" t="n">
        <v>0</v>
      </c>
      <c r="K4" s="48" t="n">
        <v>0</v>
      </c>
      <c r="L4" s="52" t="n">
        <v>0</v>
      </c>
      <c r="M4" s="48" t="n">
        <v>6</v>
      </c>
      <c r="N4" s="53" t="n">
        <v>0</v>
      </c>
      <c r="O4" s="48" t="n">
        <v>0</v>
      </c>
      <c r="P4" s="51" t="n">
        <v>0</v>
      </c>
      <c r="Q4" s="54" t="n">
        <v>0</v>
      </c>
      <c r="R4" s="54" t="n">
        <v>0</v>
      </c>
      <c r="S4" s="55" t="n">
        <v>0</v>
      </c>
      <c r="T4" s="56" t="n">
        <v>0</v>
      </c>
      <c r="U4" s="56" t="n">
        <v>0</v>
      </c>
      <c r="V4" s="56" t="n">
        <v>3860</v>
      </c>
      <c r="W4" s="57" t="n">
        <v>159.68</v>
      </c>
      <c r="X4" s="52" t="n">
        <v>10</v>
      </c>
      <c r="Y4" s="48" t="n">
        <v>165.76</v>
      </c>
      <c r="Z4" s="52" t="n">
        <v>0</v>
      </c>
      <c r="AA4" s="58"/>
      <c r="AB4" s="52" t="n">
        <v>15</v>
      </c>
      <c r="AC4" s="59"/>
      <c r="AD4" s="52" t="n">
        <v>15</v>
      </c>
      <c r="AE4" s="52" t="n">
        <v>0</v>
      </c>
      <c r="AF4" s="60" t="n">
        <v>0.5</v>
      </c>
      <c r="AG4" s="61" t="n">
        <v>40</v>
      </c>
      <c r="AH4" s="62" t="str">
        <f aca="false">IF(AND(AG4&gt;115,H4&gt;=E4,K4&gt;=F4,AF4&lt;=2),"ELIGIBLE","NOT ELIGIBLE")</f>
        <v>NOT ELIGIBLE</v>
      </c>
      <c r="AI4" s="62" t="str">
        <f aca="false">IF(H4&gt;=E4,"ELIGIBLE","NOT ELIGIBLE")</f>
        <v>NOT ELIGIBLE</v>
      </c>
      <c r="AJ4" s="62" t="str">
        <f aca="false">IF(K4&gt;=F4,"ELIGIBLE","NOT ELIGIBLE")</f>
        <v>NOT ELIGIBLE</v>
      </c>
      <c r="AK4" s="62" t="str">
        <f aca="false">IF(AF4&lt;=2,"ELIGIBLE","NOT ELIGIBLE")</f>
        <v>ELIGIBLE</v>
      </c>
      <c r="AL4" s="63" t="e">
        <f aca="false">_xlfn.xlookup(A4,sheet3!a:a,sheet3!i:i)</f>
        <v>#NAME?</v>
      </c>
      <c r="AM4" s="62" t="str">
        <f aca="false">IF(AND(AH4="ELIGIBLE",AI4="ELIGIBLE",AJ4="ELIGIBLE",AK4="ELIGIBLE"),"ELIGIBLE","NOT ELIGIBLE")</f>
        <v>NOT ELIGIBLE</v>
      </c>
      <c r="AN4" s="64" t="n">
        <f aca="false">V4*AG4/100</f>
        <v>1544</v>
      </c>
      <c r="AO4" s="65" t="n">
        <f aca="false">AN4/25</f>
        <v>61.76</v>
      </c>
    </row>
    <row r="5" customFormat="false" ht="21.75" hidden="false" customHeight="true" outlineLevel="0" collapsed="false">
      <c r="A5" s="66" t="s">
        <v>56</v>
      </c>
      <c r="B5" s="45" t="s">
        <v>53</v>
      </c>
      <c r="C5" s="46" t="s">
        <v>54</v>
      </c>
      <c r="D5" s="67" t="n">
        <v>20</v>
      </c>
      <c r="E5" s="68" t="n">
        <v>16</v>
      </c>
      <c r="F5" s="68" t="n">
        <v>4</v>
      </c>
      <c r="G5" s="69" t="s">
        <v>57</v>
      </c>
      <c r="H5" s="70" t="n">
        <v>4</v>
      </c>
      <c r="I5" s="71" t="n">
        <v>20</v>
      </c>
      <c r="J5" s="72" t="n">
        <v>0</v>
      </c>
      <c r="K5" s="68" t="n">
        <v>0</v>
      </c>
      <c r="L5" s="72" t="n">
        <v>0</v>
      </c>
      <c r="M5" s="68" t="n">
        <v>5</v>
      </c>
      <c r="N5" s="73" t="n">
        <v>0</v>
      </c>
      <c r="O5" s="68" t="n">
        <v>0</v>
      </c>
      <c r="P5" s="71" t="n">
        <v>0</v>
      </c>
      <c r="Q5" s="74" t="n">
        <v>0</v>
      </c>
      <c r="R5" s="74" t="n">
        <v>0</v>
      </c>
      <c r="S5" s="75" t="n">
        <v>0</v>
      </c>
      <c r="T5" s="76" t="n">
        <v>0</v>
      </c>
      <c r="U5" s="76" t="n">
        <v>0</v>
      </c>
      <c r="V5" s="76" t="n">
        <v>3800</v>
      </c>
      <c r="W5" s="77" t="n">
        <v>151.88</v>
      </c>
      <c r="X5" s="72" t="n">
        <v>10</v>
      </c>
      <c r="Y5" s="68" t="n">
        <v>160.62</v>
      </c>
      <c r="Z5" s="72" t="n">
        <v>0</v>
      </c>
      <c r="AA5" s="78"/>
      <c r="AB5" s="72" t="n">
        <v>15</v>
      </c>
      <c r="AC5" s="79"/>
      <c r="AD5" s="72" t="n">
        <v>15</v>
      </c>
      <c r="AE5" s="72" t="n">
        <v>0</v>
      </c>
      <c r="AF5" s="80" t="n">
        <v>0</v>
      </c>
      <c r="AG5" s="61" t="n">
        <v>40</v>
      </c>
      <c r="AH5" s="81" t="str">
        <f aca="false">IF(AND(AG5&gt;115,H5&gt;=E5,K5&gt;=F5,AF5&lt;=2),"ELIGIBLE","NOT ELIGIBLE")</f>
        <v>NOT ELIGIBLE</v>
      </c>
      <c r="AI5" s="81" t="str">
        <f aca="false">IF(H5&gt;=E5,"ELIGIBLE","NOT ELIGIBLE")</f>
        <v>NOT ELIGIBLE</v>
      </c>
      <c r="AJ5" s="81" t="str">
        <f aca="false">IF(K5&gt;=F5,"ELIGIBLE","NOT ELIGIBLE")</f>
        <v>NOT ELIGIBLE</v>
      </c>
      <c r="AK5" s="81" t="str">
        <f aca="false">IF(AF5&lt;=2,"ELIGIBLE","NOT ELIGIBLE")</f>
        <v>ELIGIBLE</v>
      </c>
      <c r="AL5" s="82" t="e">
        <f aca="false">_xlfn.xlookup(A5,sheet3!a:a,sheet3!i:i)</f>
        <v>#NAME?</v>
      </c>
      <c r="AM5" s="81" t="str">
        <f aca="false">IF(AND(AH5="ELIGIBLE",AI5="ELIGIBLE",AJ5="ELIGIBLE",AK5="ELIGIBLE"),"ELIGIBLE","NOT ELIGIBLE")</f>
        <v>NOT ELIGIBLE</v>
      </c>
      <c r="AN5" s="83" t="n">
        <f aca="false">V5*AG5/100</f>
        <v>1520</v>
      </c>
      <c r="AO5" s="84" t="n">
        <f aca="false">AN5/25</f>
        <v>60.8</v>
      </c>
    </row>
    <row r="6" customFormat="false" ht="21.75" hidden="false" customHeight="true" outlineLevel="0" collapsed="false">
      <c r="A6" s="44" t="s">
        <v>58</v>
      </c>
      <c r="B6" s="45" t="s">
        <v>53</v>
      </c>
      <c r="C6" s="46" t="s">
        <v>54</v>
      </c>
      <c r="D6" s="47" t="n">
        <v>20</v>
      </c>
      <c r="E6" s="48" t="n">
        <v>16</v>
      </c>
      <c r="F6" s="48" t="n">
        <v>4</v>
      </c>
      <c r="G6" s="49" t="s">
        <v>59</v>
      </c>
      <c r="H6" s="50" t="n">
        <v>5</v>
      </c>
      <c r="I6" s="51" t="n">
        <v>25</v>
      </c>
      <c r="J6" s="52" t="n">
        <v>0</v>
      </c>
      <c r="K6" s="48" t="n">
        <v>0</v>
      </c>
      <c r="L6" s="52" t="n">
        <v>0</v>
      </c>
      <c r="M6" s="48" t="n">
        <v>7</v>
      </c>
      <c r="N6" s="53" t="n">
        <v>1</v>
      </c>
      <c r="O6" s="48" t="n">
        <v>1</v>
      </c>
      <c r="P6" s="51" t="n">
        <v>20</v>
      </c>
      <c r="Q6" s="54" t="n">
        <v>48000</v>
      </c>
      <c r="R6" s="54" t="n">
        <v>48000</v>
      </c>
      <c r="S6" s="55" t="n">
        <v>720</v>
      </c>
      <c r="T6" s="56" t="n">
        <v>720</v>
      </c>
      <c r="U6" s="56" t="n">
        <v>0</v>
      </c>
      <c r="V6" s="56" t="n">
        <v>4640</v>
      </c>
      <c r="W6" s="57" t="n">
        <v>129.68</v>
      </c>
      <c r="X6" s="52" t="n">
        <v>0</v>
      </c>
      <c r="Y6" s="48" t="n">
        <v>137.48</v>
      </c>
      <c r="Z6" s="52" t="n">
        <v>0</v>
      </c>
      <c r="AA6" s="58"/>
      <c r="AB6" s="52" t="n">
        <v>15</v>
      </c>
      <c r="AC6" s="59"/>
      <c r="AD6" s="52" t="n">
        <v>15</v>
      </c>
      <c r="AE6" s="52" t="n">
        <v>25</v>
      </c>
      <c r="AF6" s="80" t="n">
        <v>0</v>
      </c>
      <c r="AG6" s="61" t="n">
        <v>55</v>
      </c>
      <c r="AH6" s="62" t="str">
        <f aca="false">IF(AND(AG6&gt;115,H6&gt;=E6,K6&gt;=F6,AF6&lt;=2),"ELIGIBLE","NOT ELIGIBLE")</f>
        <v>NOT ELIGIBLE</v>
      </c>
      <c r="AI6" s="62" t="str">
        <f aca="false">IF(H6&gt;=E6,"ELIGIBLE","NOT ELIGIBLE")</f>
        <v>NOT ELIGIBLE</v>
      </c>
      <c r="AJ6" s="62" t="str">
        <f aca="false">IF(K6&gt;=F6,"ELIGIBLE","NOT ELIGIBLE")</f>
        <v>NOT ELIGIBLE</v>
      </c>
      <c r="AK6" s="62" t="str">
        <f aca="false">IF(AF6&lt;=2,"ELIGIBLE","NOT ELIGIBLE")</f>
        <v>ELIGIBLE</v>
      </c>
      <c r="AL6" s="63" t="e">
        <f aca="false">_xlfn.xlookup(A6,sheet3!a:a,sheet3!i:i)</f>
        <v>#NAME?</v>
      </c>
      <c r="AM6" s="62" t="str">
        <f aca="false">IF(AND(AH6="ELIGIBLE",AI6="ELIGIBLE",AJ6="ELIGIBLE",AK6="ELIGIBLE"),"ELIGIBLE","NOT ELIGIBLE")</f>
        <v>NOT ELIGIBLE</v>
      </c>
      <c r="AN6" s="64" t="n">
        <f aca="false">V6*AG6/100</f>
        <v>2552</v>
      </c>
      <c r="AO6" s="65" t="n">
        <f aca="false">AN6/25</f>
        <v>102.08</v>
      </c>
    </row>
    <row r="7" customFormat="false" ht="21.75" hidden="false" customHeight="true" outlineLevel="0" collapsed="false">
      <c r="A7" s="66" t="s">
        <v>60</v>
      </c>
      <c r="B7" s="45" t="s">
        <v>53</v>
      </c>
      <c r="C7" s="46" t="s">
        <v>54</v>
      </c>
      <c r="D7" s="67" t="n">
        <v>20</v>
      </c>
      <c r="E7" s="68" t="n">
        <v>16</v>
      </c>
      <c r="F7" s="68" t="n">
        <v>4</v>
      </c>
      <c r="G7" s="69" t="s">
        <v>61</v>
      </c>
      <c r="H7" s="70" t="n">
        <v>4</v>
      </c>
      <c r="I7" s="71" t="n">
        <v>20</v>
      </c>
      <c r="J7" s="72" t="n">
        <v>0</v>
      </c>
      <c r="K7" s="68" t="n">
        <v>0</v>
      </c>
      <c r="L7" s="72" t="n">
        <v>0</v>
      </c>
      <c r="M7" s="68" t="n">
        <v>7</v>
      </c>
      <c r="N7" s="73" t="n">
        <v>0</v>
      </c>
      <c r="O7" s="68" t="n">
        <v>0</v>
      </c>
      <c r="P7" s="71" t="n">
        <v>0</v>
      </c>
      <c r="Q7" s="74" t="n">
        <v>0</v>
      </c>
      <c r="R7" s="74" t="n">
        <v>0</v>
      </c>
      <c r="S7" s="75" t="n">
        <v>0</v>
      </c>
      <c r="T7" s="76" t="n">
        <v>0</v>
      </c>
      <c r="U7" s="76" t="n">
        <v>0</v>
      </c>
      <c r="V7" s="76" t="n">
        <v>3920</v>
      </c>
      <c r="W7" s="77" t="n">
        <v>101.95</v>
      </c>
      <c r="X7" s="72" t="n">
        <v>0</v>
      </c>
      <c r="Y7" s="68" t="n">
        <v>133.45</v>
      </c>
      <c r="Z7" s="72" t="n">
        <v>0</v>
      </c>
      <c r="AA7" s="78"/>
      <c r="AB7" s="72" t="n">
        <v>15</v>
      </c>
      <c r="AC7" s="79"/>
      <c r="AD7" s="72" t="n">
        <v>15</v>
      </c>
      <c r="AE7" s="72" t="n">
        <v>0</v>
      </c>
      <c r="AF7" s="60" t="n">
        <v>0.5</v>
      </c>
      <c r="AG7" s="61" t="n">
        <v>30</v>
      </c>
      <c r="AH7" s="81" t="str">
        <f aca="false">IF(AND(AG7&gt;115,H7&gt;=E7,K7&gt;=F7,AF7&lt;=2),"ELIGIBLE","NOT ELIGIBLE")</f>
        <v>NOT ELIGIBLE</v>
      </c>
      <c r="AI7" s="81" t="str">
        <f aca="false">IF(H7&gt;=E7,"ELIGIBLE","NOT ELIGIBLE")</f>
        <v>NOT ELIGIBLE</v>
      </c>
      <c r="AJ7" s="81" t="str">
        <f aca="false">IF(K7&gt;=F7,"ELIGIBLE","NOT ELIGIBLE")</f>
        <v>NOT ELIGIBLE</v>
      </c>
      <c r="AK7" s="81" t="str">
        <f aca="false">IF(AF7&lt;=2,"ELIGIBLE","NOT ELIGIBLE")</f>
        <v>ELIGIBLE</v>
      </c>
      <c r="AL7" s="82" t="e">
        <f aca="false">_xlfn.xlookup(A7,sheet3!a:a,sheet3!i:i)</f>
        <v>#NAME?</v>
      </c>
      <c r="AM7" s="81" t="str">
        <f aca="false">IF(AND(AH7="ELIGIBLE",AI7="ELIGIBLE",AJ7="ELIGIBLE",AK7="ELIGIBLE"),"ELIGIBLE","NOT ELIGIBLE")</f>
        <v>NOT ELIGIBLE</v>
      </c>
      <c r="AN7" s="83" t="n">
        <f aca="false">V7*AG7/100</f>
        <v>1176</v>
      </c>
      <c r="AO7" s="84" t="n">
        <f aca="false">AN7/25</f>
        <v>47.04</v>
      </c>
    </row>
    <row r="8" customFormat="false" ht="21.75" hidden="false" customHeight="true" outlineLevel="0" collapsed="false">
      <c r="A8" s="44" t="s">
        <v>62</v>
      </c>
      <c r="B8" s="45" t="s">
        <v>53</v>
      </c>
      <c r="C8" s="46" t="s">
        <v>54</v>
      </c>
      <c r="D8" s="47" t="n">
        <v>20</v>
      </c>
      <c r="E8" s="48" t="n">
        <v>16</v>
      </c>
      <c r="F8" s="48" t="n">
        <v>4</v>
      </c>
      <c r="G8" s="49" t="s">
        <v>63</v>
      </c>
      <c r="H8" s="50" t="n">
        <v>15</v>
      </c>
      <c r="I8" s="51" t="n">
        <v>75</v>
      </c>
      <c r="J8" s="52" t="n">
        <v>0</v>
      </c>
      <c r="K8" s="48" t="n">
        <v>4</v>
      </c>
      <c r="L8" s="52" t="n">
        <v>20</v>
      </c>
      <c r="M8" s="48" t="n">
        <v>30</v>
      </c>
      <c r="N8" s="53" t="n">
        <v>1</v>
      </c>
      <c r="O8" s="48" t="n">
        <v>0</v>
      </c>
      <c r="P8" s="51" t="n">
        <v>6.67</v>
      </c>
      <c r="Q8" s="54" t="n">
        <v>0</v>
      </c>
      <c r="R8" s="54" t="n">
        <v>10000</v>
      </c>
      <c r="S8" s="55" t="n">
        <v>0</v>
      </c>
      <c r="T8" s="56" t="n">
        <v>150</v>
      </c>
      <c r="U8" s="56" t="n">
        <v>500</v>
      </c>
      <c r="V8" s="56" t="n">
        <v>5950</v>
      </c>
      <c r="W8" s="57" t="n">
        <v>167.04</v>
      </c>
      <c r="X8" s="52" t="n">
        <v>20</v>
      </c>
      <c r="Y8" s="48" t="n">
        <v>199.19</v>
      </c>
      <c r="Z8" s="52" t="n">
        <v>0</v>
      </c>
      <c r="AA8" s="58"/>
      <c r="AB8" s="52" t="n">
        <v>15</v>
      </c>
      <c r="AC8" s="59"/>
      <c r="AD8" s="52" t="n">
        <v>15</v>
      </c>
      <c r="AE8" s="52" t="n">
        <v>25</v>
      </c>
      <c r="AF8" s="80" t="n">
        <v>0</v>
      </c>
      <c r="AG8" s="85" t="n">
        <v>95</v>
      </c>
      <c r="AH8" s="62" t="str">
        <f aca="false">IF(AND(AG8&gt;115,H8&gt;=E8,K8&gt;=F8,AF8&lt;=2),"ELIGIBLE","NOT ELIGIBLE")</f>
        <v>NOT ELIGIBLE</v>
      </c>
      <c r="AI8" s="62" t="str">
        <f aca="false">IF(H8&gt;=E8,"ELIGIBLE","NOT ELIGIBLE")</f>
        <v>NOT ELIGIBLE</v>
      </c>
      <c r="AJ8" s="62" t="str">
        <f aca="false">IF(K8&gt;=F8,"ELIGIBLE","NOT ELIGIBLE")</f>
        <v>ELIGIBLE</v>
      </c>
      <c r="AK8" s="62" t="str">
        <f aca="false">IF(AF8&lt;=2,"ELIGIBLE","NOT ELIGIBLE")</f>
        <v>ELIGIBLE</v>
      </c>
      <c r="AL8" s="63" t="e">
        <f aca="false">_xlfn.xlookup(A8,sheet3!a:a,sheet3!i:i)</f>
        <v>#NAME?</v>
      </c>
      <c r="AM8" s="62" t="str">
        <f aca="false">IF(AND(AH8="ELIGIBLE",AI8="ELIGIBLE",AJ8="ELIGIBLE",AK8="ELIGIBLE"),"ELIGIBLE","NOT ELIGIBLE")</f>
        <v>NOT ELIGIBLE</v>
      </c>
      <c r="AN8" s="64" t="n">
        <f aca="false">V8*AG8/100</f>
        <v>5652.5</v>
      </c>
      <c r="AO8" s="65" t="n">
        <f aca="false">AN8/25</f>
        <v>226.1</v>
      </c>
    </row>
    <row r="9" customFormat="false" ht="21.75" hidden="false" customHeight="true" outlineLevel="0" collapsed="false">
      <c r="A9" s="66" t="s">
        <v>64</v>
      </c>
      <c r="B9" s="45" t="s">
        <v>53</v>
      </c>
      <c r="C9" s="46" t="s">
        <v>54</v>
      </c>
      <c r="D9" s="67" t="n">
        <v>20</v>
      </c>
      <c r="E9" s="68" t="n">
        <v>16</v>
      </c>
      <c r="F9" s="68" t="n">
        <v>4</v>
      </c>
      <c r="G9" s="69" t="s">
        <v>65</v>
      </c>
      <c r="H9" s="70" t="n">
        <v>11</v>
      </c>
      <c r="I9" s="71" t="n">
        <v>55</v>
      </c>
      <c r="J9" s="72" t="n">
        <v>0</v>
      </c>
      <c r="K9" s="68" t="n">
        <v>1</v>
      </c>
      <c r="L9" s="72" t="n">
        <v>15</v>
      </c>
      <c r="M9" s="68" t="n">
        <v>15</v>
      </c>
      <c r="N9" s="73" t="n">
        <v>0</v>
      </c>
      <c r="O9" s="68" t="n">
        <v>0</v>
      </c>
      <c r="P9" s="71" t="n">
        <v>0</v>
      </c>
      <c r="Q9" s="74" t="n">
        <v>0</v>
      </c>
      <c r="R9" s="74" t="n">
        <v>0</v>
      </c>
      <c r="S9" s="75" t="n">
        <v>0</v>
      </c>
      <c r="T9" s="76" t="n">
        <v>0</v>
      </c>
      <c r="U9" s="76" t="n">
        <v>500</v>
      </c>
      <c r="V9" s="76" t="n">
        <v>4900</v>
      </c>
      <c r="W9" s="77" t="n">
        <v>150.96</v>
      </c>
      <c r="X9" s="72" t="n">
        <v>10</v>
      </c>
      <c r="Y9" s="68" t="n">
        <v>156.48</v>
      </c>
      <c r="Z9" s="72" t="n">
        <v>0</v>
      </c>
      <c r="AA9" s="78"/>
      <c r="AB9" s="72" t="n">
        <v>15</v>
      </c>
      <c r="AC9" s="79"/>
      <c r="AD9" s="72" t="n">
        <v>15</v>
      </c>
      <c r="AE9" s="72" t="n">
        <v>0</v>
      </c>
      <c r="AF9" s="80" t="n">
        <v>0</v>
      </c>
      <c r="AG9" s="61" t="n">
        <v>55</v>
      </c>
      <c r="AH9" s="81" t="str">
        <f aca="false">IF(AND(AG9&gt;115,H9&gt;=E9,K9&gt;=F9,AF9&lt;=2),"ELIGIBLE","NOT ELIGIBLE")</f>
        <v>NOT ELIGIBLE</v>
      </c>
      <c r="AI9" s="81" t="str">
        <f aca="false">IF(H9&gt;=E9,"ELIGIBLE","NOT ELIGIBLE")</f>
        <v>NOT ELIGIBLE</v>
      </c>
      <c r="AJ9" s="81" t="str">
        <f aca="false">IF(K9&gt;=F9,"ELIGIBLE","NOT ELIGIBLE")</f>
        <v>NOT ELIGIBLE</v>
      </c>
      <c r="AK9" s="81" t="str">
        <f aca="false">IF(AF9&lt;=2,"ELIGIBLE","NOT ELIGIBLE")</f>
        <v>ELIGIBLE</v>
      </c>
      <c r="AL9" s="82" t="e">
        <f aca="false">_xlfn.xlookup(A9,sheet3!a:a,sheet3!i:i)</f>
        <v>#NAME?</v>
      </c>
      <c r="AM9" s="81" t="str">
        <f aca="false">IF(AND(AH9="ELIGIBLE",AI9="ELIGIBLE",AJ9="ELIGIBLE",AK9="ELIGIBLE"),"ELIGIBLE","NOT ELIGIBLE")</f>
        <v>NOT ELIGIBLE</v>
      </c>
      <c r="AN9" s="83" t="n">
        <f aca="false">V9*AG9/100</f>
        <v>2695</v>
      </c>
      <c r="AO9" s="84" t="n">
        <f aca="false">AN9/25</f>
        <v>107.8</v>
      </c>
    </row>
    <row r="10" customFormat="false" ht="21.75" hidden="false" customHeight="true" outlineLevel="0" collapsed="false">
      <c r="A10" s="44" t="s">
        <v>66</v>
      </c>
      <c r="B10" s="45" t="s">
        <v>53</v>
      </c>
      <c r="C10" s="46" t="s">
        <v>54</v>
      </c>
      <c r="D10" s="47" t="n">
        <v>20</v>
      </c>
      <c r="E10" s="48" t="n">
        <v>16</v>
      </c>
      <c r="F10" s="48" t="n">
        <v>4</v>
      </c>
      <c r="G10" s="49" t="s">
        <v>67</v>
      </c>
      <c r="H10" s="50" t="n">
        <v>4</v>
      </c>
      <c r="I10" s="51" t="n">
        <v>20</v>
      </c>
      <c r="J10" s="52" t="n">
        <v>0</v>
      </c>
      <c r="K10" s="48" t="n">
        <v>0</v>
      </c>
      <c r="L10" s="52" t="n">
        <v>0</v>
      </c>
      <c r="M10" s="48" t="n">
        <v>7</v>
      </c>
      <c r="N10" s="53" t="n">
        <v>0</v>
      </c>
      <c r="O10" s="48" t="n">
        <v>0</v>
      </c>
      <c r="P10" s="51" t="n">
        <v>0</v>
      </c>
      <c r="Q10" s="54" t="n">
        <v>0</v>
      </c>
      <c r="R10" s="54" t="n">
        <v>0</v>
      </c>
      <c r="S10" s="55" t="n">
        <v>0</v>
      </c>
      <c r="T10" s="56" t="n">
        <v>0</v>
      </c>
      <c r="U10" s="56" t="n">
        <v>0</v>
      </c>
      <c r="V10" s="56" t="n">
        <v>3920</v>
      </c>
      <c r="W10" s="57" t="n">
        <v>163.42</v>
      </c>
      <c r="X10" s="52" t="n">
        <v>20</v>
      </c>
      <c r="Y10" s="48" t="n">
        <v>176.42</v>
      </c>
      <c r="Z10" s="52" t="n">
        <v>0</v>
      </c>
      <c r="AA10" s="58"/>
      <c r="AB10" s="52" t="n">
        <v>15</v>
      </c>
      <c r="AC10" s="59"/>
      <c r="AD10" s="52" t="n">
        <v>15</v>
      </c>
      <c r="AE10" s="52" t="n">
        <v>0</v>
      </c>
      <c r="AF10" s="80" t="n">
        <v>0</v>
      </c>
      <c r="AG10" s="61" t="n">
        <v>50</v>
      </c>
      <c r="AH10" s="62" t="str">
        <f aca="false">IF(AND(AG10&gt;115,H10&gt;=E10,K10&gt;=F10,AF10&lt;=2),"ELIGIBLE","NOT ELIGIBLE")</f>
        <v>NOT ELIGIBLE</v>
      </c>
      <c r="AI10" s="62" t="str">
        <f aca="false">IF(H10&gt;=E10,"ELIGIBLE","NOT ELIGIBLE")</f>
        <v>NOT ELIGIBLE</v>
      </c>
      <c r="AJ10" s="62" t="str">
        <f aca="false">IF(K10&gt;=F10,"ELIGIBLE","NOT ELIGIBLE")</f>
        <v>NOT ELIGIBLE</v>
      </c>
      <c r="AK10" s="62" t="str">
        <f aca="false">IF(AF10&lt;=2,"ELIGIBLE","NOT ELIGIBLE")</f>
        <v>ELIGIBLE</v>
      </c>
      <c r="AL10" s="63" t="e">
        <f aca="false">_xlfn.xlookup(A10,sheet3!a:a,sheet3!i:i)</f>
        <v>#NAME?</v>
      </c>
      <c r="AM10" s="62" t="str">
        <f aca="false">IF(AND(AH10="ELIGIBLE",AI10="ELIGIBLE",AJ10="ELIGIBLE",AK10="ELIGIBLE"),"ELIGIBLE","NOT ELIGIBLE")</f>
        <v>NOT ELIGIBLE</v>
      </c>
      <c r="AN10" s="64" t="n">
        <f aca="false">V10*AG10/100</f>
        <v>1960</v>
      </c>
      <c r="AO10" s="65" t="n">
        <f aca="false">AN10/25</f>
        <v>78.4</v>
      </c>
    </row>
    <row r="11" customFormat="false" ht="21.75" hidden="false" customHeight="true" outlineLevel="0" collapsed="false">
      <c r="A11" s="66" t="s">
        <v>68</v>
      </c>
      <c r="B11" s="45" t="s">
        <v>53</v>
      </c>
      <c r="C11" s="46" t="s">
        <v>54</v>
      </c>
      <c r="D11" s="67" t="n">
        <v>15</v>
      </c>
      <c r="E11" s="68" t="n">
        <v>12</v>
      </c>
      <c r="F11" s="68" t="n">
        <v>3</v>
      </c>
      <c r="G11" s="69" t="s">
        <v>69</v>
      </c>
      <c r="H11" s="70" t="n">
        <v>14</v>
      </c>
      <c r="I11" s="71" t="n">
        <v>93.33</v>
      </c>
      <c r="J11" s="72" t="n">
        <v>40</v>
      </c>
      <c r="K11" s="68" t="n">
        <v>1</v>
      </c>
      <c r="L11" s="72" t="n">
        <v>15</v>
      </c>
      <c r="M11" s="68" t="n">
        <v>18</v>
      </c>
      <c r="N11" s="73" t="n">
        <v>2</v>
      </c>
      <c r="O11" s="68" t="n">
        <v>2</v>
      </c>
      <c r="P11" s="71" t="n">
        <v>14.29</v>
      </c>
      <c r="Q11" s="74" t="n">
        <v>73000</v>
      </c>
      <c r="R11" s="74" t="n">
        <v>73000</v>
      </c>
      <c r="S11" s="75" t="n">
        <v>1095</v>
      </c>
      <c r="T11" s="76" t="n">
        <v>1095</v>
      </c>
      <c r="U11" s="76" t="n">
        <v>1000</v>
      </c>
      <c r="V11" s="76" t="n">
        <v>6675</v>
      </c>
      <c r="W11" s="77" t="n">
        <v>214.89</v>
      </c>
      <c r="X11" s="72" t="n">
        <v>30</v>
      </c>
      <c r="Y11" s="68" t="n">
        <v>229.3</v>
      </c>
      <c r="Z11" s="72" t="n">
        <v>20</v>
      </c>
      <c r="AA11" s="78"/>
      <c r="AB11" s="72" t="n">
        <v>15</v>
      </c>
      <c r="AC11" s="79"/>
      <c r="AD11" s="72" t="n">
        <v>15</v>
      </c>
      <c r="AE11" s="72" t="n">
        <v>25</v>
      </c>
      <c r="AF11" s="80" t="n">
        <v>0</v>
      </c>
      <c r="AG11" s="86" t="n">
        <v>160</v>
      </c>
      <c r="AH11" s="81" t="str">
        <f aca="false">IF(AND(AG11&gt;115,H11&gt;=E11,K11&gt;=F11,AF11&lt;=2),"ELIGIBLE","NOT ELIGIBLE")</f>
        <v>NOT ELIGIBLE</v>
      </c>
      <c r="AI11" s="81" t="str">
        <f aca="false">IF(H11&gt;=E11,"ELIGIBLE","NOT ELIGIBLE")</f>
        <v>ELIGIBLE</v>
      </c>
      <c r="AJ11" s="81" t="str">
        <f aca="false">IF(K11&gt;=F11,"ELIGIBLE","NOT ELIGIBLE")</f>
        <v>NOT ELIGIBLE</v>
      </c>
      <c r="AK11" s="81" t="str">
        <f aca="false">IF(AF11&lt;=2,"ELIGIBLE","NOT ELIGIBLE")</f>
        <v>ELIGIBLE</v>
      </c>
      <c r="AL11" s="82" t="e">
        <f aca="false">_xlfn.xlookup(A11,sheet3!a:a,sheet3!i:i)</f>
        <v>#NAME?</v>
      </c>
      <c r="AM11" s="81" t="str">
        <f aca="false">IF(AND(AH11="ELIGIBLE",AI11="ELIGIBLE",AJ11="ELIGIBLE",AK11="ELIGIBLE"),"ELIGIBLE","NOT ELIGIBLE")</f>
        <v>NOT ELIGIBLE</v>
      </c>
      <c r="AN11" s="83" t="n">
        <f aca="false">V11*AG11/100</f>
        <v>10680</v>
      </c>
      <c r="AO11" s="84" t="n">
        <f aca="false">AN11/25</f>
        <v>427.2</v>
      </c>
    </row>
    <row r="12" customFormat="false" ht="21.75" hidden="false" customHeight="true" outlineLevel="0" collapsed="false">
      <c r="A12" s="44" t="s">
        <v>70</v>
      </c>
      <c r="B12" s="87" t="s">
        <v>71</v>
      </c>
      <c r="C12" s="87" t="s">
        <v>72</v>
      </c>
      <c r="D12" s="47" t="n">
        <v>35</v>
      </c>
      <c r="E12" s="48" t="n">
        <v>28</v>
      </c>
      <c r="F12" s="48" t="n">
        <v>6</v>
      </c>
      <c r="G12" s="49" t="s">
        <v>73</v>
      </c>
      <c r="H12" s="50" t="n">
        <v>15</v>
      </c>
      <c r="I12" s="51" t="n">
        <v>42.86</v>
      </c>
      <c r="J12" s="52" t="n">
        <v>0</v>
      </c>
      <c r="K12" s="48" t="n">
        <v>1</v>
      </c>
      <c r="L12" s="52" t="n">
        <v>0</v>
      </c>
      <c r="M12" s="48" t="n">
        <v>23</v>
      </c>
      <c r="N12" s="53" t="n">
        <v>0</v>
      </c>
      <c r="O12" s="48" t="n">
        <v>0</v>
      </c>
      <c r="P12" s="51" t="n">
        <v>0</v>
      </c>
      <c r="Q12" s="54" t="n">
        <v>0</v>
      </c>
      <c r="R12" s="54" t="n">
        <v>0</v>
      </c>
      <c r="S12" s="55" t="n">
        <v>0</v>
      </c>
      <c r="T12" s="56" t="n">
        <v>0</v>
      </c>
      <c r="U12" s="56" t="n">
        <v>0</v>
      </c>
      <c r="V12" s="56" t="n">
        <v>4880</v>
      </c>
      <c r="W12" s="57" t="n">
        <v>145.16</v>
      </c>
      <c r="X12" s="52" t="n">
        <v>30</v>
      </c>
      <c r="Y12" s="48" t="n">
        <v>176.36</v>
      </c>
      <c r="Z12" s="52" t="n">
        <v>0</v>
      </c>
      <c r="AA12" s="58"/>
      <c r="AB12" s="52" t="n">
        <v>15</v>
      </c>
      <c r="AC12" s="59"/>
      <c r="AD12" s="52" t="n">
        <v>15</v>
      </c>
      <c r="AE12" s="52" t="n">
        <v>0</v>
      </c>
      <c r="AF12" s="60" t="n">
        <v>2</v>
      </c>
      <c r="AG12" s="61" t="n">
        <v>60</v>
      </c>
      <c r="AH12" s="62" t="str">
        <f aca="false">IF(AND(AG12&gt;115,H12&gt;=E12,K12&gt;=F12,AF12&lt;=2),"ELIGIBLE","NOT ELIGIBLE")</f>
        <v>NOT ELIGIBLE</v>
      </c>
      <c r="AI12" s="62" t="str">
        <f aca="false">IF(H12&gt;=E12,"ELIGIBLE","NOT ELIGIBLE")</f>
        <v>NOT ELIGIBLE</v>
      </c>
      <c r="AJ12" s="62" t="str">
        <f aca="false">IF(K12&gt;=F12,"ELIGIBLE","NOT ELIGIBLE")</f>
        <v>NOT ELIGIBLE</v>
      </c>
      <c r="AK12" s="62" t="str">
        <f aca="false">IF(AF12&lt;=2,"ELIGIBLE","NOT ELIGIBLE")</f>
        <v>ELIGIBLE</v>
      </c>
      <c r="AL12" s="63" t="e">
        <f aca="false">_xlfn.xlookup(A12,sheet3!a:a,sheet3!i:i)</f>
        <v>#NAME?</v>
      </c>
      <c r="AM12" s="62" t="str">
        <f aca="false">IF(AND(AH12="ELIGIBLE",AI12="ELIGIBLE",AJ12="ELIGIBLE",AK12="ELIGIBLE"),"ELIGIBLE","NOT ELIGIBLE")</f>
        <v>NOT ELIGIBLE</v>
      </c>
      <c r="AN12" s="64" t="n">
        <f aca="false">V12*AG12/100</f>
        <v>2928</v>
      </c>
      <c r="AO12" s="65" t="n">
        <f aca="false">AN12/25</f>
        <v>117.12</v>
      </c>
    </row>
    <row r="13" customFormat="false" ht="21.75" hidden="false" customHeight="true" outlineLevel="0" collapsed="false">
      <c r="A13" s="66" t="s">
        <v>74</v>
      </c>
      <c r="B13" s="45" t="s">
        <v>53</v>
      </c>
      <c r="C13" s="46" t="s">
        <v>54</v>
      </c>
      <c r="D13" s="67" t="n">
        <v>20</v>
      </c>
      <c r="E13" s="68" t="n">
        <v>16</v>
      </c>
      <c r="F13" s="68" t="n">
        <v>4</v>
      </c>
      <c r="G13" s="69" t="s">
        <v>55</v>
      </c>
      <c r="H13" s="70" t="n">
        <v>2</v>
      </c>
      <c r="I13" s="71" t="n">
        <v>10</v>
      </c>
      <c r="J13" s="72" t="n">
        <v>0</v>
      </c>
      <c r="K13" s="68" t="n">
        <v>0</v>
      </c>
      <c r="L13" s="72" t="n">
        <v>0</v>
      </c>
      <c r="M13" s="68" t="n">
        <v>6</v>
      </c>
      <c r="N13" s="73" t="n">
        <v>0</v>
      </c>
      <c r="O13" s="68" t="n">
        <v>0</v>
      </c>
      <c r="P13" s="71" t="n">
        <v>0</v>
      </c>
      <c r="Q13" s="74" t="n">
        <v>0</v>
      </c>
      <c r="R13" s="74" t="n">
        <v>0</v>
      </c>
      <c r="S13" s="75" t="n">
        <v>0</v>
      </c>
      <c r="T13" s="76" t="n">
        <v>0</v>
      </c>
      <c r="U13" s="76" t="n">
        <v>0</v>
      </c>
      <c r="V13" s="76" t="n">
        <v>3860</v>
      </c>
      <c r="W13" s="77" t="n">
        <v>161.45</v>
      </c>
      <c r="X13" s="72" t="n">
        <v>20</v>
      </c>
      <c r="Y13" s="68" t="n">
        <v>172.14</v>
      </c>
      <c r="Z13" s="72" t="n">
        <v>0</v>
      </c>
      <c r="AA13" s="78"/>
      <c r="AB13" s="72" t="n">
        <v>15</v>
      </c>
      <c r="AC13" s="79"/>
      <c r="AD13" s="72" t="n">
        <v>15</v>
      </c>
      <c r="AE13" s="72" t="n">
        <v>0</v>
      </c>
      <c r="AF13" s="80" t="n">
        <v>0</v>
      </c>
      <c r="AG13" s="61" t="n">
        <v>50</v>
      </c>
      <c r="AH13" s="81" t="str">
        <f aca="false">IF(AND(AG13&gt;115,H13&gt;=E13,K13&gt;=F13,AF13&lt;=2),"ELIGIBLE","NOT ELIGIBLE")</f>
        <v>NOT ELIGIBLE</v>
      </c>
      <c r="AI13" s="81" t="str">
        <f aca="false">IF(H13&gt;=E13,"ELIGIBLE","NOT ELIGIBLE")</f>
        <v>NOT ELIGIBLE</v>
      </c>
      <c r="AJ13" s="81" t="str">
        <f aca="false">IF(K13&gt;=F13,"ELIGIBLE","NOT ELIGIBLE")</f>
        <v>NOT ELIGIBLE</v>
      </c>
      <c r="AK13" s="81" t="str">
        <f aca="false">IF(AF13&lt;=2,"ELIGIBLE","NOT ELIGIBLE")</f>
        <v>ELIGIBLE</v>
      </c>
      <c r="AL13" s="82" t="e">
        <f aca="false">_xlfn.xlookup(A13,sheet3!a:a,sheet3!i:i)</f>
        <v>#NAME?</v>
      </c>
      <c r="AM13" s="81" t="str">
        <f aca="false">IF(AND(AH13="ELIGIBLE",AI13="ELIGIBLE",AJ13="ELIGIBLE",AK13="ELIGIBLE"),"ELIGIBLE","NOT ELIGIBLE")</f>
        <v>NOT ELIGIBLE</v>
      </c>
      <c r="AN13" s="83" t="n">
        <f aca="false">V13*AG13/100</f>
        <v>1930</v>
      </c>
      <c r="AO13" s="84" t="n">
        <f aca="false">AN13/25</f>
        <v>77.2</v>
      </c>
    </row>
    <row r="14" customFormat="false" ht="21.75" hidden="false" customHeight="true" outlineLevel="0" collapsed="false">
      <c r="A14" s="44" t="s">
        <v>75</v>
      </c>
      <c r="B14" s="45" t="s">
        <v>53</v>
      </c>
      <c r="C14" s="46" t="s">
        <v>54</v>
      </c>
      <c r="D14" s="47" t="n">
        <v>20</v>
      </c>
      <c r="E14" s="48" t="n">
        <v>16</v>
      </c>
      <c r="F14" s="48" t="n">
        <v>4</v>
      </c>
      <c r="G14" s="49" t="s">
        <v>59</v>
      </c>
      <c r="H14" s="50" t="n">
        <v>5</v>
      </c>
      <c r="I14" s="51" t="n">
        <v>25</v>
      </c>
      <c r="J14" s="52" t="n">
        <v>0</v>
      </c>
      <c r="K14" s="48" t="n">
        <v>0</v>
      </c>
      <c r="L14" s="52" t="n">
        <v>0</v>
      </c>
      <c r="M14" s="48" t="n">
        <v>7</v>
      </c>
      <c r="N14" s="53" t="n">
        <v>0</v>
      </c>
      <c r="O14" s="48" t="n">
        <v>0</v>
      </c>
      <c r="P14" s="51" t="n">
        <v>0</v>
      </c>
      <c r="Q14" s="54" t="n">
        <v>0</v>
      </c>
      <c r="R14" s="54" t="n">
        <v>0</v>
      </c>
      <c r="S14" s="55" t="n">
        <v>0</v>
      </c>
      <c r="T14" s="56" t="n">
        <v>0</v>
      </c>
      <c r="U14" s="56" t="n">
        <v>0</v>
      </c>
      <c r="V14" s="56" t="n">
        <v>3920</v>
      </c>
      <c r="W14" s="57" t="n">
        <v>133.96</v>
      </c>
      <c r="X14" s="52" t="n">
        <v>0</v>
      </c>
      <c r="Y14" s="48" t="n">
        <v>154.5</v>
      </c>
      <c r="Z14" s="52" t="n">
        <v>0</v>
      </c>
      <c r="AA14" s="58"/>
      <c r="AB14" s="52" t="n">
        <v>15</v>
      </c>
      <c r="AC14" s="59"/>
      <c r="AD14" s="52" t="n">
        <v>15</v>
      </c>
      <c r="AE14" s="52" t="n">
        <v>0</v>
      </c>
      <c r="AF14" s="80" t="n">
        <v>0</v>
      </c>
      <c r="AG14" s="61" t="n">
        <v>30</v>
      </c>
      <c r="AH14" s="62" t="str">
        <f aca="false">IF(AND(AG14&gt;115,H14&gt;=E14,K14&gt;=F14,AF14&lt;=2),"ELIGIBLE","NOT ELIGIBLE")</f>
        <v>NOT ELIGIBLE</v>
      </c>
      <c r="AI14" s="62" t="str">
        <f aca="false">IF(H14&gt;=E14,"ELIGIBLE","NOT ELIGIBLE")</f>
        <v>NOT ELIGIBLE</v>
      </c>
      <c r="AJ14" s="62" t="str">
        <f aca="false">IF(K14&gt;=F14,"ELIGIBLE","NOT ELIGIBLE")</f>
        <v>NOT ELIGIBLE</v>
      </c>
      <c r="AK14" s="62" t="str">
        <f aca="false">IF(AF14&lt;=2,"ELIGIBLE","NOT ELIGIBLE")</f>
        <v>ELIGIBLE</v>
      </c>
      <c r="AL14" s="63" t="e">
        <f aca="false">_xlfn.xlookup(A14,sheet3!a:a,sheet3!i:i)</f>
        <v>#NAME?</v>
      </c>
      <c r="AM14" s="62" t="str">
        <f aca="false">IF(AND(AH14="ELIGIBLE",AI14="ELIGIBLE",AJ14="ELIGIBLE",AK14="ELIGIBLE"),"ELIGIBLE","NOT ELIGIBLE")</f>
        <v>NOT ELIGIBLE</v>
      </c>
      <c r="AN14" s="64" t="n">
        <f aca="false">V14*AG14/100</f>
        <v>1176</v>
      </c>
      <c r="AO14" s="65" t="n">
        <f aca="false">AN14/25</f>
        <v>47.04</v>
      </c>
    </row>
    <row r="15" customFormat="false" ht="21.75" hidden="false" customHeight="true" outlineLevel="0" collapsed="false">
      <c r="A15" s="66" t="s">
        <v>76</v>
      </c>
      <c r="B15" s="45" t="s">
        <v>53</v>
      </c>
      <c r="C15" s="46" t="s">
        <v>54</v>
      </c>
      <c r="D15" s="67" t="n">
        <v>15</v>
      </c>
      <c r="E15" s="68" t="n">
        <v>12</v>
      </c>
      <c r="F15" s="68" t="n">
        <v>3</v>
      </c>
      <c r="G15" s="69" t="s">
        <v>77</v>
      </c>
      <c r="H15" s="70" t="n">
        <v>38</v>
      </c>
      <c r="I15" s="71" t="n">
        <v>253.33</v>
      </c>
      <c r="J15" s="72" t="n">
        <v>45</v>
      </c>
      <c r="K15" s="68" t="n">
        <v>4</v>
      </c>
      <c r="L15" s="72" t="n">
        <v>20</v>
      </c>
      <c r="M15" s="68" t="n">
        <v>56</v>
      </c>
      <c r="N15" s="73" t="n">
        <v>4</v>
      </c>
      <c r="O15" s="68" t="n">
        <v>1</v>
      </c>
      <c r="P15" s="71" t="n">
        <v>10.53</v>
      </c>
      <c r="Q15" s="74" t="n">
        <v>27000</v>
      </c>
      <c r="R15" s="74" t="n">
        <v>57000</v>
      </c>
      <c r="S15" s="75" t="n">
        <v>405</v>
      </c>
      <c r="T15" s="76" t="n">
        <v>855</v>
      </c>
      <c r="U15" s="76" t="n">
        <v>3400</v>
      </c>
      <c r="V15" s="76" t="n">
        <v>11115</v>
      </c>
      <c r="W15" s="77" t="n">
        <v>119.83</v>
      </c>
      <c r="X15" s="72" t="n">
        <v>0</v>
      </c>
      <c r="Y15" s="68" t="n">
        <v>219</v>
      </c>
      <c r="Z15" s="72" t="n">
        <v>0</v>
      </c>
      <c r="AA15" s="78"/>
      <c r="AB15" s="72" t="n">
        <v>15</v>
      </c>
      <c r="AC15" s="79"/>
      <c r="AD15" s="72" t="n">
        <v>15</v>
      </c>
      <c r="AE15" s="72" t="n">
        <v>25</v>
      </c>
      <c r="AF15" s="80" t="n">
        <v>0</v>
      </c>
      <c r="AG15" s="86" t="n">
        <v>120</v>
      </c>
      <c r="AH15" s="81" t="str">
        <f aca="false">IF(AND(AG15&gt;115,H15&gt;=E15,K15&gt;=F15,AF15&lt;=2),"ELIGIBLE","NOT ELIGIBLE")</f>
        <v>ELIGIBLE</v>
      </c>
      <c r="AI15" s="81" t="str">
        <f aca="false">IF(H15&gt;=E15,"ELIGIBLE","NOT ELIGIBLE")</f>
        <v>ELIGIBLE</v>
      </c>
      <c r="AJ15" s="81" t="str">
        <f aca="false">IF(K15&gt;=F15,"ELIGIBLE","NOT ELIGIBLE")</f>
        <v>ELIGIBLE</v>
      </c>
      <c r="AK15" s="81" t="str">
        <f aca="false">IF(AF15&lt;=2,"ELIGIBLE","NOT ELIGIBLE")</f>
        <v>ELIGIBLE</v>
      </c>
      <c r="AL15" s="82" t="e">
        <f aca="false">_xlfn.xlookup(A15,sheet3!a:a,sheet3!i:i)</f>
        <v>#NAME?</v>
      </c>
      <c r="AM15" s="81" t="str">
        <f aca="false">IF(AND(AH15="ELIGIBLE",AI15="ELIGIBLE",AJ15="ELIGIBLE",AK15="ELIGIBLE"),"ELIGIBLE","NOT ELIGIBLE")</f>
        <v>ELIGIBLE</v>
      </c>
      <c r="AN15" s="83" t="n">
        <f aca="false">V15*AG15/100</f>
        <v>13338</v>
      </c>
      <c r="AO15" s="84" t="n">
        <f aca="false">AN15/25</f>
        <v>533.52</v>
      </c>
    </row>
    <row r="16" customFormat="false" ht="21.75" hidden="false" customHeight="true" outlineLevel="0" collapsed="false">
      <c r="A16" s="44" t="s">
        <v>78</v>
      </c>
      <c r="B16" s="45" t="s">
        <v>53</v>
      </c>
      <c r="C16" s="46" t="s">
        <v>54</v>
      </c>
      <c r="D16" s="47" t="n">
        <v>20</v>
      </c>
      <c r="E16" s="48" t="n">
        <v>16</v>
      </c>
      <c r="F16" s="48" t="n">
        <v>4</v>
      </c>
      <c r="G16" s="49" t="s">
        <v>79</v>
      </c>
      <c r="H16" s="50" t="n">
        <v>2</v>
      </c>
      <c r="I16" s="51" t="n">
        <v>10</v>
      </c>
      <c r="J16" s="52" t="n">
        <v>0</v>
      </c>
      <c r="K16" s="48" t="n">
        <v>0</v>
      </c>
      <c r="L16" s="52" t="n">
        <v>0</v>
      </c>
      <c r="M16" s="48" t="n">
        <v>2</v>
      </c>
      <c r="N16" s="53" t="n">
        <v>1</v>
      </c>
      <c r="O16" s="48" t="n">
        <v>0</v>
      </c>
      <c r="P16" s="51" t="n">
        <v>50</v>
      </c>
      <c r="Q16" s="54" t="n">
        <v>0</v>
      </c>
      <c r="R16" s="54" t="n">
        <v>10000</v>
      </c>
      <c r="S16" s="55" t="n">
        <v>0</v>
      </c>
      <c r="T16" s="56" t="n">
        <v>150</v>
      </c>
      <c r="U16" s="56" t="n">
        <v>0</v>
      </c>
      <c r="V16" s="56" t="n">
        <v>3770</v>
      </c>
      <c r="W16" s="57" t="n">
        <v>139.04</v>
      </c>
      <c r="X16" s="52" t="n">
        <v>0</v>
      </c>
      <c r="Y16" s="48" t="n">
        <v>151.65</v>
      </c>
      <c r="Z16" s="52" t="n">
        <v>0</v>
      </c>
      <c r="AA16" s="58"/>
      <c r="AB16" s="52" t="n">
        <v>15</v>
      </c>
      <c r="AC16" s="59"/>
      <c r="AD16" s="52" t="n">
        <v>15</v>
      </c>
      <c r="AE16" s="52" t="n">
        <v>25</v>
      </c>
      <c r="AF16" s="80" t="n">
        <v>0</v>
      </c>
      <c r="AG16" s="61" t="n">
        <v>55</v>
      </c>
      <c r="AH16" s="62" t="str">
        <f aca="false">IF(AND(AG16&gt;115,H16&gt;=E16,K16&gt;=F16,AF16&lt;=2),"ELIGIBLE","NOT ELIGIBLE")</f>
        <v>NOT ELIGIBLE</v>
      </c>
      <c r="AI16" s="62" t="str">
        <f aca="false">IF(H16&gt;=E16,"ELIGIBLE","NOT ELIGIBLE")</f>
        <v>NOT ELIGIBLE</v>
      </c>
      <c r="AJ16" s="62" t="str">
        <f aca="false">IF(K16&gt;=F16,"ELIGIBLE","NOT ELIGIBLE")</f>
        <v>NOT ELIGIBLE</v>
      </c>
      <c r="AK16" s="62" t="str">
        <f aca="false">IF(AF16&lt;=2,"ELIGIBLE","NOT ELIGIBLE")</f>
        <v>ELIGIBLE</v>
      </c>
      <c r="AL16" s="63" t="e">
        <f aca="false">_xlfn.xlookup(A16,sheet3!a:a,sheet3!i:i)</f>
        <v>#NAME?</v>
      </c>
      <c r="AM16" s="62" t="str">
        <f aca="false">IF(AND(AH16="ELIGIBLE",AI16="ELIGIBLE",AJ16="ELIGIBLE",AK16="ELIGIBLE"),"ELIGIBLE","NOT ELIGIBLE")</f>
        <v>NOT ELIGIBLE</v>
      </c>
      <c r="AN16" s="64" t="n">
        <f aca="false">V16*AG16/100</f>
        <v>2073.5</v>
      </c>
      <c r="AO16" s="65" t="n">
        <f aca="false">AN16/25</f>
        <v>82.94</v>
      </c>
    </row>
    <row r="17" customFormat="false" ht="21.75" hidden="false" customHeight="true" outlineLevel="0" collapsed="false">
      <c r="A17" s="66" t="s">
        <v>80</v>
      </c>
      <c r="B17" s="88" t="s">
        <v>81</v>
      </c>
      <c r="C17" s="46" t="s">
        <v>54</v>
      </c>
      <c r="D17" s="67" t="n">
        <v>25</v>
      </c>
      <c r="E17" s="68" t="n">
        <v>20</v>
      </c>
      <c r="F17" s="68" t="n">
        <v>3.5</v>
      </c>
      <c r="G17" s="69" t="s">
        <v>82</v>
      </c>
      <c r="H17" s="70" t="n">
        <v>3</v>
      </c>
      <c r="I17" s="71" t="n">
        <v>12</v>
      </c>
      <c r="J17" s="72" t="n">
        <v>0</v>
      </c>
      <c r="K17" s="68" t="n">
        <v>0</v>
      </c>
      <c r="L17" s="72" t="n">
        <v>0</v>
      </c>
      <c r="M17" s="68" t="n">
        <v>5</v>
      </c>
      <c r="N17" s="73" t="n">
        <v>1</v>
      </c>
      <c r="O17" s="68" t="n">
        <v>1</v>
      </c>
      <c r="P17" s="71" t="n">
        <v>33.33</v>
      </c>
      <c r="Q17" s="74" t="n">
        <v>25000</v>
      </c>
      <c r="R17" s="74" t="n">
        <v>25000</v>
      </c>
      <c r="S17" s="75" t="n">
        <v>375</v>
      </c>
      <c r="T17" s="76" t="n">
        <v>375</v>
      </c>
      <c r="U17" s="76" t="n">
        <v>0</v>
      </c>
      <c r="V17" s="76" t="n">
        <v>4175</v>
      </c>
      <c r="W17" s="77" t="n">
        <v>189.86</v>
      </c>
      <c r="X17" s="72" t="n">
        <v>30</v>
      </c>
      <c r="Y17" s="68" t="n">
        <v>227.48</v>
      </c>
      <c r="Z17" s="72" t="n">
        <v>20</v>
      </c>
      <c r="AA17" s="89" t="n">
        <v>61.91</v>
      </c>
      <c r="AB17" s="72" t="n">
        <v>0</v>
      </c>
      <c r="AC17" s="68" t="n">
        <v>100</v>
      </c>
      <c r="AD17" s="72" t="n">
        <v>20</v>
      </c>
      <c r="AE17" s="72" t="n">
        <v>25</v>
      </c>
      <c r="AF17" s="90" t="n">
        <v>6.5</v>
      </c>
      <c r="AG17" s="85" t="n">
        <v>95</v>
      </c>
      <c r="AH17" s="81" t="str">
        <f aca="false">IF(AND(AG17&gt;115,H17&gt;=E17,K17&gt;=F17,AF17&lt;=2),"ELIGIBLE","NOT ELIGIBLE")</f>
        <v>NOT ELIGIBLE</v>
      </c>
      <c r="AI17" s="81" t="str">
        <f aca="false">IF(H17&gt;=E17,"ELIGIBLE","NOT ELIGIBLE")</f>
        <v>NOT ELIGIBLE</v>
      </c>
      <c r="AJ17" s="81" t="str">
        <f aca="false">IF(K17&gt;=F17,"ELIGIBLE","NOT ELIGIBLE")</f>
        <v>NOT ELIGIBLE</v>
      </c>
      <c r="AK17" s="81" t="str">
        <f aca="false">IF(AF17&lt;=2,"ELIGIBLE","NOT ELIGIBLE")</f>
        <v>NOT ELIGIBLE</v>
      </c>
      <c r="AL17" s="82" t="e">
        <f aca="false">_xlfn.xlookup(A17,sheet3!a:a,sheet3!i:i)</f>
        <v>#NAME?</v>
      </c>
      <c r="AM17" s="81" t="str">
        <f aca="false">IF(AND(AH17="ELIGIBLE",AI17="ELIGIBLE",AJ17="ELIGIBLE",AK17="ELIGIBLE"),"ELIGIBLE","NOT ELIGIBLE")</f>
        <v>NOT ELIGIBLE</v>
      </c>
      <c r="AN17" s="83" t="n">
        <f aca="false">V17*AG17/100</f>
        <v>3966.25</v>
      </c>
      <c r="AO17" s="84" t="n">
        <f aca="false">AN17/25</f>
        <v>158.65</v>
      </c>
    </row>
    <row r="18" customFormat="false" ht="21.75" hidden="false" customHeight="true" outlineLevel="0" collapsed="false">
      <c r="A18" s="44" t="s">
        <v>83</v>
      </c>
      <c r="B18" s="88" t="s">
        <v>81</v>
      </c>
      <c r="C18" s="46" t="s">
        <v>54</v>
      </c>
      <c r="D18" s="47" t="n">
        <v>25</v>
      </c>
      <c r="E18" s="48" t="n">
        <v>20</v>
      </c>
      <c r="F18" s="48" t="n">
        <v>3.5</v>
      </c>
      <c r="G18" s="49" t="s">
        <v>84</v>
      </c>
      <c r="H18" s="50" t="n">
        <v>27</v>
      </c>
      <c r="I18" s="51" t="n">
        <v>108</v>
      </c>
      <c r="J18" s="52" t="n">
        <v>45</v>
      </c>
      <c r="K18" s="48" t="n">
        <v>10</v>
      </c>
      <c r="L18" s="52" t="n">
        <v>25</v>
      </c>
      <c r="M18" s="48" t="n">
        <v>41</v>
      </c>
      <c r="N18" s="53" t="n">
        <v>0</v>
      </c>
      <c r="O18" s="48" t="n">
        <v>0</v>
      </c>
      <c r="P18" s="51" t="n">
        <v>0</v>
      </c>
      <c r="Q18" s="54" t="n">
        <v>0</v>
      </c>
      <c r="R18" s="54" t="n">
        <v>0</v>
      </c>
      <c r="S18" s="55" t="n">
        <v>0</v>
      </c>
      <c r="T18" s="56" t="n">
        <v>0</v>
      </c>
      <c r="U18" s="56" t="n">
        <v>1700</v>
      </c>
      <c r="V18" s="56" t="n">
        <v>7660</v>
      </c>
      <c r="W18" s="57" t="n">
        <v>238.67</v>
      </c>
      <c r="X18" s="52" t="n">
        <v>30</v>
      </c>
      <c r="Y18" s="48" t="n">
        <v>267</v>
      </c>
      <c r="Z18" s="52" t="n">
        <v>30</v>
      </c>
      <c r="AA18" s="91" t="n">
        <v>64.09</v>
      </c>
      <c r="AB18" s="52" t="n">
        <v>0</v>
      </c>
      <c r="AC18" s="48" t="n">
        <v>0</v>
      </c>
      <c r="AD18" s="52" t="n">
        <v>0</v>
      </c>
      <c r="AE18" s="52" t="n">
        <v>0</v>
      </c>
      <c r="AF18" s="80" t="n">
        <v>0</v>
      </c>
      <c r="AG18" s="86" t="n">
        <v>130</v>
      </c>
      <c r="AH18" s="62" t="str">
        <f aca="false">IF(AND(AG18&gt;115,H18&gt;=E18,K18&gt;=F18,AF18&lt;=2),"ELIGIBLE","NOT ELIGIBLE")</f>
        <v>ELIGIBLE</v>
      </c>
      <c r="AI18" s="62" t="str">
        <f aca="false">IF(H18&gt;=E18,"ELIGIBLE","NOT ELIGIBLE")</f>
        <v>ELIGIBLE</v>
      </c>
      <c r="AJ18" s="62" t="str">
        <f aca="false">IF(K18&gt;=F18,"ELIGIBLE","NOT ELIGIBLE")</f>
        <v>ELIGIBLE</v>
      </c>
      <c r="AK18" s="62" t="str">
        <f aca="false">IF(AF18&lt;=2,"ELIGIBLE","NOT ELIGIBLE")</f>
        <v>ELIGIBLE</v>
      </c>
      <c r="AL18" s="63" t="e">
        <f aca="false">_xlfn.xlookup(A18,sheet3!a:a,sheet3!i:i)</f>
        <v>#NAME?</v>
      </c>
      <c r="AM18" s="62" t="str">
        <f aca="false">IF(AND(AH18="ELIGIBLE",AI18="ELIGIBLE",AJ18="ELIGIBLE",AK18="ELIGIBLE"),"ELIGIBLE","NOT ELIGIBLE")</f>
        <v>ELIGIBLE</v>
      </c>
      <c r="AN18" s="64" t="n">
        <f aca="false">V18*AG18/100</f>
        <v>9958</v>
      </c>
      <c r="AO18" s="65" t="n">
        <f aca="false">AN18/25</f>
        <v>398.32</v>
      </c>
    </row>
    <row r="19" customFormat="false" ht="21.75" hidden="false" customHeight="true" outlineLevel="0" collapsed="false">
      <c r="A19" s="66" t="s">
        <v>85</v>
      </c>
      <c r="B19" s="88" t="s">
        <v>81</v>
      </c>
      <c r="C19" s="46" t="s">
        <v>54</v>
      </c>
      <c r="D19" s="67" t="n">
        <v>25</v>
      </c>
      <c r="E19" s="68" t="n">
        <v>20</v>
      </c>
      <c r="F19" s="68" t="n">
        <v>3.5</v>
      </c>
      <c r="G19" s="69" t="s">
        <v>86</v>
      </c>
      <c r="H19" s="70" t="n">
        <v>21</v>
      </c>
      <c r="I19" s="71" t="n">
        <v>84</v>
      </c>
      <c r="J19" s="72" t="n">
        <v>25</v>
      </c>
      <c r="K19" s="68" t="n">
        <v>4</v>
      </c>
      <c r="L19" s="72" t="n">
        <v>20</v>
      </c>
      <c r="M19" s="68" t="n">
        <v>28</v>
      </c>
      <c r="N19" s="73" t="n">
        <v>1</v>
      </c>
      <c r="O19" s="68" t="n">
        <v>1</v>
      </c>
      <c r="P19" s="71" t="n">
        <v>4.76</v>
      </c>
      <c r="Q19" s="74" t="n">
        <v>25000</v>
      </c>
      <c r="R19" s="74" t="n">
        <v>25000</v>
      </c>
      <c r="S19" s="75" t="n">
        <v>375</v>
      </c>
      <c r="T19" s="76" t="n">
        <v>375</v>
      </c>
      <c r="U19" s="76" t="n">
        <v>1700</v>
      </c>
      <c r="V19" s="76" t="n">
        <v>7255</v>
      </c>
      <c r="W19" s="77" t="n">
        <v>242.54</v>
      </c>
      <c r="X19" s="72" t="n">
        <v>30</v>
      </c>
      <c r="Y19" s="68" t="n">
        <v>278.88</v>
      </c>
      <c r="Z19" s="72" t="n">
        <v>30</v>
      </c>
      <c r="AA19" s="89" t="n">
        <v>73.13</v>
      </c>
      <c r="AB19" s="72" t="n">
        <v>0</v>
      </c>
      <c r="AC19" s="79"/>
      <c r="AD19" s="72" t="n">
        <v>15</v>
      </c>
      <c r="AE19" s="72" t="n">
        <v>20</v>
      </c>
      <c r="AF19" s="80" t="n">
        <v>0</v>
      </c>
      <c r="AG19" s="86" t="n">
        <v>140</v>
      </c>
      <c r="AH19" s="81" t="str">
        <f aca="false">IF(AND(AG19&gt;115,H19&gt;=E19,K19&gt;=F19,AF19&lt;=2),"ELIGIBLE","NOT ELIGIBLE")</f>
        <v>ELIGIBLE</v>
      </c>
      <c r="AI19" s="81" t="str">
        <f aca="false">IF(H19&gt;=E19,"ELIGIBLE","NOT ELIGIBLE")</f>
        <v>ELIGIBLE</v>
      </c>
      <c r="AJ19" s="81" t="str">
        <f aca="false">IF(K19&gt;=F19,"ELIGIBLE","NOT ELIGIBLE")</f>
        <v>ELIGIBLE</v>
      </c>
      <c r="AK19" s="81" t="str">
        <f aca="false">IF(AF19&lt;=2,"ELIGIBLE","NOT ELIGIBLE")</f>
        <v>ELIGIBLE</v>
      </c>
      <c r="AL19" s="82" t="e">
        <f aca="false">_xlfn.xlookup(A19,sheet3!a:a,sheet3!i:i)</f>
        <v>#NAME?</v>
      </c>
      <c r="AM19" s="81" t="str">
        <f aca="false">IF(AND(AH19="ELIGIBLE",AI19="ELIGIBLE",AJ19="ELIGIBLE",AK19="ELIGIBLE"),"ELIGIBLE","NOT ELIGIBLE")</f>
        <v>ELIGIBLE</v>
      </c>
      <c r="AN19" s="83" t="n">
        <f aca="false">V19*AG19/100</f>
        <v>10157</v>
      </c>
      <c r="AO19" s="84" t="n">
        <f aca="false">AN19/25</f>
        <v>406.28</v>
      </c>
    </row>
    <row r="20" customFormat="false" ht="21.75" hidden="false" customHeight="true" outlineLevel="0" collapsed="false">
      <c r="A20" s="44" t="s">
        <v>87</v>
      </c>
      <c r="B20" s="88" t="s">
        <v>81</v>
      </c>
      <c r="C20" s="46" t="s">
        <v>54</v>
      </c>
      <c r="D20" s="47" t="n">
        <v>25</v>
      </c>
      <c r="E20" s="48" t="n">
        <v>20</v>
      </c>
      <c r="F20" s="48" t="n">
        <v>3.5</v>
      </c>
      <c r="G20" s="49" t="s">
        <v>88</v>
      </c>
      <c r="H20" s="50" t="n">
        <v>26</v>
      </c>
      <c r="I20" s="51" t="n">
        <v>104</v>
      </c>
      <c r="J20" s="52" t="n">
        <v>45</v>
      </c>
      <c r="K20" s="48" t="n">
        <v>6</v>
      </c>
      <c r="L20" s="52" t="n">
        <v>25</v>
      </c>
      <c r="M20" s="48" t="n">
        <v>40</v>
      </c>
      <c r="N20" s="53" t="n">
        <v>0</v>
      </c>
      <c r="O20" s="48" t="n">
        <v>0</v>
      </c>
      <c r="P20" s="51" t="n">
        <v>0</v>
      </c>
      <c r="Q20" s="54" t="n">
        <v>0</v>
      </c>
      <c r="R20" s="54" t="n">
        <v>0</v>
      </c>
      <c r="S20" s="55" t="n">
        <v>0</v>
      </c>
      <c r="T20" s="56" t="n">
        <v>0</v>
      </c>
      <c r="U20" s="56" t="n">
        <v>1700</v>
      </c>
      <c r="V20" s="56" t="n">
        <v>7600</v>
      </c>
      <c r="W20" s="57" t="n">
        <v>243.36</v>
      </c>
      <c r="X20" s="52" t="n">
        <v>30</v>
      </c>
      <c r="Y20" s="48" t="n">
        <v>287.86</v>
      </c>
      <c r="Z20" s="52" t="n">
        <v>35</v>
      </c>
      <c r="AA20" s="91" t="n">
        <v>76.88</v>
      </c>
      <c r="AB20" s="52" t="n">
        <v>0</v>
      </c>
      <c r="AC20" s="59"/>
      <c r="AD20" s="52" t="n">
        <v>15</v>
      </c>
      <c r="AE20" s="52" t="n">
        <v>0</v>
      </c>
      <c r="AF20" s="80" t="n">
        <v>0</v>
      </c>
      <c r="AG20" s="86" t="n">
        <v>150</v>
      </c>
      <c r="AH20" s="62" t="str">
        <f aca="false">IF(AND(AG20&gt;115,H20&gt;=E20,K20&gt;=F20,AF20&lt;=2),"ELIGIBLE","NOT ELIGIBLE")</f>
        <v>ELIGIBLE</v>
      </c>
      <c r="AI20" s="62" t="str">
        <f aca="false">IF(H20&gt;=E20,"ELIGIBLE","NOT ELIGIBLE")</f>
        <v>ELIGIBLE</v>
      </c>
      <c r="AJ20" s="62" t="str">
        <f aca="false">IF(K20&gt;=F20,"ELIGIBLE","NOT ELIGIBLE")</f>
        <v>ELIGIBLE</v>
      </c>
      <c r="AK20" s="62" t="str">
        <f aca="false">IF(AF20&lt;=2,"ELIGIBLE","NOT ELIGIBLE")</f>
        <v>ELIGIBLE</v>
      </c>
      <c r="AL20" s="63" t="e">
        <f aca="false">_xlfn.xlookup(A20,sheet3!a:a,sheet3!i:i)</f>
        <v>#NAME?</v>
      </c>
      <c r="AM20" s="62" t="str">
        <f aca="false">IF(AND(AH20="ELIGIBLE",AI20="ELIGIBLE",AJ20="ELIGIBLE",AK20="ELIGIBLE"),"ELIGIBLE","NOT ELIGIBLE")</f>
        <v>ELIGIBLE</v>
      </c>
      <c r="AN20" s="64" t="n">
        <f aca="false">V20*AG20/100</f>
        <v>11400</v>
      </c>
      <c r="AO20" s="65" t="n">
        <f aca="false">AN20/25</f>
        <v>456</v>
      </c>
    </row>
    <row r="21" customFormat="false" ht="21.75" hidden="false" customHeight="true" outlineLevel="0" collapsed="false">
      <c r="A21" s="66" t="s">
        <v>89</v>
      </c>
      <c r="B21" s="88" t="s">
        <v>81</v>
      </c>
      <c r="C21" s="92" t="s">
        <v>90</v>
      </c>
      <c r="D21" s="67" t="n">
        <v>160</v>
      </c>
      <c r="E21" s="68" t="n">
        <v>128</v>
      </c>
      <c r="F21" s="68" t="n">
        <v>28</v>
      </c>
      <c r="G21" s="69" t="s">
        <v>91</v>
      </c>
      <c r="H21" s="70" t="n">
        <v>192</v>
      </c>
      <c r="I21" s="71" t="n">
        <v>120</v>
      </c>
      <c r="J21" s="72" t="n">
        <v>40</v>
      </c>
      <c r="K21" s="68" t="n">
        <v>83</v>
      </c>
      <c r="L21" s="72" t="n">
        <v>40</v>
      </c>
      <c r="M21" s="68" t="n">
        <v>364</v>
      </c>
      <c r="N21" s="73" t="n">
        <v>29</v>
      </c>
      <c r="O21" s="68" t="n">
        <v>14</v>
      </c>
      <c r="P21" s="71" t="n">
        <v>7.29</v>
      </c>
      <c r="Q21" s="74" t="n">
        <v>509000</v>
      </c>
      <c r="R21" s="74" t="n">
        <v>672500</v>
      </c>
      <c r="S21" s="75" t="n">
        <v>7635</v>
      </c>
      <c r="T21" s="76" t="n">
        <v>10087.5</v>
      </c>
      <c r="U21" s="76" t="n">
        <v>7000</v>
      </c>
      <c r="V21" s="76" t="n">
        <v>39975</v>
      </c>
      <c r="W21" s="77" t="n">
        <v>137.48</v>
      </c>
      <c r="X21" s="72" t="n">
        <v>40</v>
      </c>
      <c r="Y21" s="68" t="n">
        <v>167.35</v>
      </c>
      <c r="Z21" s="72" t="n">
        <v>0</v>
      </c>
      <c r="AA21" s="89" t="n">
        <v>79.09</v>
      </c>
      <c r="AB21" s="72" t="n">
        <v>10</v>
      </c>
      <c r="AC21" s="68" t="n">
        <v>95.24</v>
      </c>
      <c r="AD21" s="72" t="n">
        <v>20</v>
      </c>
      <c r="AE21" s="72" t="n">
        <v>0</v>
      </c>
      <c r="AF21" s="60" t="n">
        <v>1</v>
      </c>
      <c r="AG21" s="86" t="n">
        <v>150</v>
      </c>
      <c r="AH21" s="81" t="str">
        <f aca="false">IF(AND(AG21&gt;115,H21&gt;=E21,K21&gt;=F21,AF21&lt;=2),"ELIGIBLE","NOT ELIGIBLE")</f>
        <v>ELIGIBLE</v>
      </c>
      <c r="AI21" s="81" t="str">
        <f aca="false">IF(H21&gt;=E21,"ELIGIBLE","NOT ELIGIBLE")</f>
        <v>ELIGIBLE</v>
      </c>
      <c r="AJ21" s="81" t="str">
        <f aca="false">IF(K21&gt;=F21,"ELIGIBLE","NOT ELIGIBLE")</f>
        <v>ELIGIBLE</v>
      </c>
      <c r="AK21" s="81" t="str">
        <f aca="false">IF(AF21&lt;=2,"ELIGIBLE","NOT ELIGIBLE")</f>
        <v>ELIGIBLE</v>
      </c>
      <c r="AL21" s="82" t="e">
        <f aca="false">_xlfn.xlookup(A21,sheet3!a:a,sheet3!i:i)</f>
        <v>#NAME?</v>
      </c>
      <c r="AM21" s="81" t="str">
        <f aca="false">IF(AND(AH21="ELIGIBLE",AI21="ELIGIBLE",AJ21="ELIGIBLE",AK21="ELIGIBLE"),"ELIGIBLE","NOT ELIGIBLE")</f>
        <v>ELIGIBLE</v>
      </c>
      <c r="AN21" s="83" t="n">
        <f aca="false">V21*AG21/100</f>
        <v>59962.5</v>
      </c>
      <c r="AO21" s="84" t="n">
        <f aca="false">AN21/25</f>
        <v>2398.5</v>
      </c>
    </row>
    <row r="22" customFormat="false" ht="21.75" hidden="false" customHeight="true" outlineLevel="0" collapsed="false">
      <c r="A22" s="44" t="s">
        <v>92</v>
      </c>
      <c r="B22" s="87" t="s">
        <v>71</v>
      </c>
      <c r="C22" s="87" t="s">
        <v>72</v>
      </c>
      <c r="D22" s="47" t="n">
        <v>55</v>
      </c>
      <c r="E22" s="48" t="n">
        <v>44</v>
      </c>
      <c r="F22" s="48" t="n">
        <v>11</v>
      </c>
      <c r="G22" s="49" t="s">
        <v>93</v>
      </c>
      <c r="H22" s="50" t="n">
        <v>32</v>
      </c>
      <c r="I22" s="51" t="n">
        <v>58.18</v>
      </c>
      <c r="J22" s="52" t="n">
        <v>0</v>
      </c>
      <c r="K22" s="48" t="n">
        <v>2</v>
      </c>
      <c r="L22" s="52" t="n">
        <v>0</v>
      </c>
      <c r="M22" s="48" t="n">
        <v>46</v>
      </c>
      <c r="N22" s="53" t="n">
        <v>4</v>
      </c>
      <c r="O22" s="48" t="n">
        <v>1</v>
      </c>
      <c r="P22" s="51" t="n">
        <v>12.5</v>
      </c>
      <c r="Q22" s="54" t="n">
        <v>15000</v>
      </c>
      <c r="R22" s="54" t="n">
        <v>45000</v>
      </c>
      <c r="S22" s="55" t="n">
        <v>225</v>
      </c>
      <c r="T22" s="56" t="n">
        <v>675</v>
      </c>
      <c r="U22" s="56" t="n">
        <v>700</v>
      </c>
      <c r="V22" s="56" t="n">
        <v>7635</v>
      </c>
      <c r="W22" s="57" t="n">
        <v>149.74</v>
      </c>
      <c r="X22" s="52" t="n">
        <v>30</v>
      </c>
      <c r="Y22" s="48" t="n">
        <v>206.48</v>
      </c>
      <c r="Z22" s="52" t="n">
        <v>0</v>
      </c>
      <c r="AA22" s="91" t="n">
        <v>80.15</v>
      </c>
      <c r="AB22" s="52" t="n">
        <v>10</v>
      </c>
      <c r="AC22" s="48" t="n">
        <v>97.27</v>
      </c>
      <c r="AD22" s="52" t="n">
        <v>20</v>
      </c>
      <c r="AE22" s="52" t="n">
        <v>40</v>
      </c>
      <c r="AF22" s="90" t="n">
        <v>2.5</v>
      </c>
      <c r="AG22" s="85" t="n">
        <v>100</v>
      </c>
      <c r="AH22" s="62" t="str">
        <f aca="false">IF(AND(AG22&gt;115,H22&gt;=E22,K22&gt;=F22,AF22&lt;=2),"ELIGIBLE","NOT ELIGIBLE")</f>
        <v>NOT ELIGIBLE</v>
      </c>
      <c r="AI22" s="62" t="str">
        <f aca="false">IF(H22&gt;=E22,"ELIGIBLE","NOT ELIGIBLE")</f>
        <v>NOT ELIGIBLE</v>
      </c>
      <c r="AJ22" s="62" t="str">
        <f aca="false">IF(K22&gt;=F22,"ELIGIBLE","NOT ELIGIBLE")</f>
        <v>NOT ELIGIBLE</v>
      </c>
      <c r="AK22" s="62" t="str">
        <f aca="false">IF(AF22&lt;=2,"ELIGIBLE","NOT ELIGIBLE")</f>
        <v>NOT ELIGIBLE</v>
      </c>
      <c r="AL22" s="63" t="e">
        <f aca="false">_xlfn.xlookup(A22,sheet3!a:a,sheet3!i:i)</f>
        <v>#NAME?</v>
      </c>
      <c r="AM22" s="62" t="str">
        <f aca="false">IF(AND(AH22="ELIGIBLE",AI22="ELIGIBLE",AJ22="ELIGIBLE",AK22="ELIGIBLE"),"ELIGIBLE","NOT ELIGIBLE")</f>
        <v>NOT ELIGIBLE</v>
      </c>
      <c r="AN22" s="64" t="n">
        <f aca="false">V22*AG22/100</f>
        <v>7635</v>
      </c>
      <c r="AO22" s="65" t="n">
        <f aca="false">AN22/25</f>
        <v>305.4</v>
      </c>
    </row>
    <row r="23" customFormat="false" ht="21.75" hidden="false" customHeight="true" outlineLevel="0" collapsed="false">
      <c r="A23" s="66" t="s">
        <v>94</v>
      </c>
      <c r="B23" s="88" t="s">
        <v>81</v>
      </c>
      <c r="C23" s="46" t="s">
        <v>54</v>
      </c>
      <c r="D23" s="67" t="n">
        <v>25</v>
      </c>
      <c r="E23" s="68" t="n">
        <v>20</v>
      </c>
      <c r="F23" s="68" t="n">
        <v>3.5</v>
      </c>
      <c r="G23" s="69" t="s">
        <v>95</v>
      </c>
      <c r="H23" s="70" t="n">
        <v>11</v>
      </c>
      <c r="I23" s="71" t="n">
        <v>44</v>
      </c>
      <c r="J23" s="72" t="n">
        <v>0</v>
      </c>
      <c r="K23" s="68" t="n">
        <v>1</v>
      </c>
      <c r="L23" s="72" t="n">
        <v>15</v>
      </c>
      <c r="M23" s="68" t="n">
        <v>14</v>
      </c>
      <c r="N23" s="73" t="n">
        <v>2</v>
      </c>
      <c r="O23" s="68" t="n">
        <v>1</v>
      </c>
      <c r="P23" s="71" t="n">
        <v>18.18</v>
      </c>
      <c r="Q23" s="74" t="n">
        <v>15300</v>
      </c>
      <c r="R23" s="74" t="n">
        <v>25300</v>
      </c>
      <c r="S23" s="75" t="n">
        <v>229.5</v>
      </c>
      <c r="T23" s="76" t="n">
        <v>379.5</v>
      </c>
      <c r="U23" s="76" t="n">
        <v>500</v>
      </c>
      <c r="V23" s="76" t="n">
        <v>5219.5</v>
      </c>
      <c r="W23" s="77" t="n">
        <v>200.54</v>
      </c>
      <c r="X23" s="72" t="n">
        <v>30</v>
      </c>
      <c r="Y23" s="68" t="n">
        <v>207.73</v>
      </c>
      <c r="Z23" s="72" t="n">
        <v>0</v>
      </c>
      <c r="AA23" s="89" t="n">
        <v>81.56</v>
      </c>
      <c r="AB23" s="72" t="n">
        <v>10</v>
      </c>
      <c r="AC23" s="68" t="n">
        <v>61.54</v>
      </c>
      <c r="AD23" s="72" t="n">
        <v>0</v>
      </c>
      <c r="AE23" s="72" t="n">
        <v>25</v>
      </c>
      <c r="AF23" s="90" t="n">
        <v>2.5</v>
      </c>
      <c r="AG23" s="85" t="n">
        <v>80</v>
      </c>
      <c r="AH23" s="81" t="str">
        <f aca="false">IF(AND(AG23&gt;115,H23&gt;=E23,K23&gt;=F23,AF23&lt;=2),"ELIGIBLE","NOT ELIGIBLE")</f>
        <v>NOT ELIGIBLE</v>
      </c>
      <c r="AI23" s="81" t="str">
        <f aca="false">IF(H23&gt;=E23,"ELIGIBLE","NOT ELIGIBLE")</f>
        <v>NOT ELIGIBLE</v>
      </c>
      <c r="AJ23" s="81" t="str">
        <f aca="false">IF(K23&gt;=F23,"ELIGIBLE","NOT ELIGIBLE")</f>
        <v>NOT ELIGIBLE</v>
      </c>
      <c r="AK23" s="81" t="str">
        <f aca="false">IF(AF23&lt;=2,"ELIGIBLE","NOT ELIGIBLE")</f>
        <v>NOT ELIGIBLE</v>
      </c>
      <c r="AL23" s="82" t="e">
        <f aca="false">_xlfn.xlookup(A23,sheet3!a:a,sheet3!i:i)</f>
        <v>#NAME?</v>
      </c>
      <c r="AM23" s="81" t="str">
        <f aca="false">IF(AND(AH23="ELIGIBLE",AI23="ELIGIBLE",AJ23="ELIGIBLE",AK23="ELIGIBLE"),"ELIGIBLE","NOT ELIGIBLE")</f>
        <v>NOT ELIGIBLE</v>
      </c>
      <c r="AN23" s="83" t="n">
        <f aca="false">V23*AG23/100</f>
        <v>4175.6</v>
      </c>
      <c r="AO23" s="84" t="n">
        <f aca="false">AN23/25</f>
        <v>167.024</v>
      </c>
    </row>
    <row r="24" customFormat="false" ht="21.75" hidden="false" customHeight="true" outlineLevel="0" collapsed="false">
      <c r="A24" s="44" t="s">
        <v>96</v>
      </c>
      <c r="B24" s="88" t="s">
        <v>81</v>
      </c>
      <c r="C24" s="92" t="s">
        <v>90</v>
      </c>
      <c r="D24" s="47" t="n">
        <v>160</v>
      </c>
      <c r="E24" s="48" t="n">
        <v>128</v>
      </c>
      <c r="F24" s="48" t="n">
        <v>28</v>
      </c>
      <c r="G24" s="49" t="s">
        <v>97</v>
      </c>
      <c r="H24" s="50" t="n">
        <v>167</v>
      </c>
      <c r="I24" s="51" t="n">
        <v>104.38</v>
      </c>
      <c r="J24" s="52" t="n">
        <v>40</v>
      </c>
      <c r="K24" s="48" t="n">
        <v>61</v>
      </c>
      <c r="L24" s="52" t="n">
        <v>40</v>
      </c>
      <c r="M24" s="48" t="n">
        <v>294</v>
      </c>
      <c r="N24" s="53" t="n">
        <v>29</v>
      </c>
      <c r="O24" s="48" t="n">
        <v>18</v>
      </c>
      <c r="P24" s="51" t="n">
        <v>10.78</v>
      </c>
      <c r="Q24" s="54" t="n">
        <v>551499</v>
      </c>
      <c r="R24" s="54" t="n">
        <v>666499</v>
      </c>
      <c r="S24" s="55" t="n">
        <v>8272.49</v>
      </c>
      <c r="T24" s="56" t="n">
        <v>9997.49</v>
      </c>
      <c r="U24" s="56" t="n">
        <v>3700</v>
      </c>
      <c r="V24" s="56" t="n">
        <v>33112.49</v>
      </c>
      <c r="W24" s="57" t="n">
        <v>156.59</v>
      </c>
      <c r="X24" s="52" t="n">
        <v>40</v>
      </c>
      <c r="Y24" s="48" t="n">
        <v>175.09</v>
      </c>
      <c r="Z24" s="52" t="n">
        <v>0</v>
      </c>
      <c r="AA24" s="91" t="n">
        <v>82.88</v>
      </c>
      <c r="AB24" s="52" t="n">
        <v>10</v>
      </c>
      <c r="AC24" s="48" t="n">
        <v>91.94</v>
      </c>
      <c r="AD24" s="52" t="n">
        <v>15</v>
      </c>
      <c r="AE24" s="52" t="n">
        <v>25</v>
      </c>
      <c r="AF24" s="80" t="n">
        <v>0</v>
      </c>
      <c r="AG24" s="86" t="n">
        <v>170</v>
      </c>
      <c r="AH24" s="62" t="str">
        <f aca="false">IF(AND(AG24&gt;115,H24&gt;=E24,K24&gt;=F24,AF24&lt;=2),"ELIGIBLE","NOT ELIGIBLE")</f>
        <v>ELIGIBLE</v>
      </c>
      <c r="AI24" s="62" t="str">
        <f aca="false">IF(H24&gt;=E24,"ELIGIBLE","NOT ELIGIBLE")</f>
        <v>ELIGIBLE</v>
      </c>
      <c r="AJ24" s="62" t="str">
        <f aca="false">IF(K24&gt;=F24,"ELIGIBLE","NOT ELIGIBLE")</f>
        <v>ELIGIBLE</v>
      </c>
      <c r="AK24" s="62" t="str">
        <f aca="false">IF(AF24&lt;=2,"ELIGIBLE","NOT ELIGIBLE")</f>
        <v>ELIGIBLE</v>
      </c>
      <c r="AL24" s="63" t="e">
        <f aca="false">_xlfn.xlookup(A24,sheet3!a:a,sheet3!i:i)</f>
        <v>#NAME?</v>
      </c>
      <c r="AM24" s="62" t="str">
        <f aca="false">IF(AND(AH24="ELIGIBLE",AI24="ELIGIBLE",AJ24="ELIGIBLE",AK24="ELIGIBLE"),"ELIGIBLE","NOT ELIGIBLE")</f>
        <v>ELIGIBLE</v>
      </c>
      <c r="AN24" s="64" t="n">
        <f aca="false">V24*AG24/100</f>
        <v>56291.233</v>
      </c>
      <c r="AO24" s="65" t="n">
        <f aca="false">AN24/25</f>
        <v>2251.64932</v>
      </c>
    </row>
    <row r="25" customFormat="false" ht="21.75" hidden="false" customHeight="true" outlineLevel="0" collapsed="false">
      <c r="A25" s="66" t="s">
        <v>98</v>
      </c>
      <c r="B25" s="87" t="s">
        <v>71</v>
      </c>
      <c r="C25" s="87" t="s">
        <v>72</v>
      </c>
      <c r="D25" s="67" t="n">
        <v>40</v>
      </c>
      <c r="E25" s="68" t="n">
        <v>32</v>
      </c>
      <c r="F25" s="68" t="n">
        <v>8</v>
      </c>
      <c r="G25" s="69" t="s">
        <v>99</v>
      </c>
      <c r="H25" s="70" t="n">
        <v>61</v>
      </c>
      <c r="I25" s="71" t="n">
        <v>152.5</v>
      </c>
      <c r="J25" s="72" t="n">
        <v>40</v>
      </c>
      <c r="K25" s="68" t="n">
        <v>17</v>
      </c>
      <c r="L25" s="72" t="n">
        <v>40</v>
      </c>
      <c r="M25" s="68" t="n">
        <v>109</v>
      </c>
      <c r="N25" s="73" t="n">
        <v>3</v>
      </c>
      <c r="O25" s="68" t="n">
        <v>1</v>
      </c>
      <c r="P25" s="71" t="n">
        <v>4.92</v>
      </c>
      <c r="Q25" s="74" t="n">
        <v>15000</v>
      </c>
      <c r="R25" s="74" t="n">
        <v>35000</v>
      </c>
      <c r="S25" s="75" t="n">
        <v>225</v>
      </c>
      <c r="T25" s="76" t="n">
        <v>525</v>
      </c>
      <c r="U25" s="76" t="n">
        <v>4200</v>
      </c>
      <c r="V25" s="76" t="n">
        <v>14765</v>
      </c>
      <c r="W25" s="77" t="n">
        <v>145.34</v>
      </c>
      <c r="X25" s="72" t="n">
        <v>30</v>
      </c>
      <c r="Y25" s="68" t="n">
        <v>177.24</v>
      </c>
      <c r="Z25" s="72" t="n">
        <v>0</v>
      </c>
      <c r="AA25" s="89" t="n">
        <v>83</v>
      </c>
      <c r="AB25" s="72" t="n">
        <v>10</v>
      </c>
      <c r="AC25" s="68" t="n">
        <v>96.31</v>
      </c>
      <c r="AD25" s="72" t="n">
        <v>20</v>
      </c>
      <c r="AE25" s="72" t="n">
        <v>25</v>
      </c>
      <c r="AF25" s="60" t="n">
        <v>1</v>
      </c>
      <c r="AG25" s="86" t="n">
        <v>165</v>
      </c>
      <c r="AH25" s="81" t="str">
        <f aca="false">IF(AND(AG25&gt;115,H25&gt;=E25,K25&gt;=F25,AF25&lt;=2),"ELIGIBLE","NOT ELIGIBLE")</f>
        <v>ELIGIBLE</v>
      </c>
      <c r="AI25" s="81" t="str">
        <f aca="false">IF(H25&gt;=E25,"ELIGIBLE","NOT ELIGIBLE")</f>
        <v>ELIGIBLE</v>
      </c>
      <c r="AJ25" s="81" t="str">
        <f aca="false">IF(K25&gt;=F25,"ELIGIBLE","NOT ELIGIBLE")</f>
        <v>ELIGIBLE</v>
      </c>
      <c r="AK25" s="81" t="str">
        <f aca="false">IF(AF25&lt;=2,"ELIGIBLE","NOT ELIGIBLE")</f>
        <v>ELIGIBLE</v>
      </c>
      <c r="AL25" s="82" t="e">
        <f aca="false">_xlfn.xlookup(A25,sheet3!a:a,sheet3!i:i)</f>
        <v>#NAME?</v>
      </c>
      <c r="AM25" s="81" t="str">
        <f aca="false">IF(AND(AH25="ELIGIBLE",AI25="ELIGIBLE",AJ25="ELIGIBLE",AK25="ELIGIBLE"),"ELIGIBLE","NOT ELIGIBLE")</f>
        <v>ELIGIBLE</v>
      </c>
      <c r="AN25" s="83" t="n">
        <f aca="false">V25*AG25/100</f>
        <v>24362.25</v>
      </c>
      <c r="AO25" s="84" t="n">
        <f aca="false">AN25/25</f>
        <v>974.49</v>
      </c>
    </row>
    <row r="26" customFormat="false" ht="21.75" hidden="false" customHeight="true" outlineLevel="0" collapsed="false">
      <c r="A26" s="44" t="s">
        <v>100</v>
      </c>
      <c r="B26" s="45" t="s">
        <v>53</v>
      </c>
      <c r="C26" s="46" t="s">
        <v>54</v>
      </c>
      <c r="D26" s="47" t="n">
        <v>24</v>
      </c>
      <c r="E26" s="48" t="n">
        <v>19.2</v>
      </c>
      <c r="F26" s="48" t="n">
        <v>3</v>
      </c>
      <c r="G26" s="49" t="s">
        <v>101</v>
      </c>
      <c r="H26" s="50" t="n">
        <v>25</v>
      </c>
      <c r="I26" s="51" t="n">
        <v>104.17</v>
      </c>
      <c r="J26" s="52" t="n">
        <v>45</v>
      </c>
      <c r="K26" s="48" t="n">
        <v>6</v>
      </c>
      <c r="L26" s="52" t="n">
        <v>25</v>
      </c>
      <c r="M26" s="48" t="n">
        <v>43</v>
      </c>
      <c r="N26" s="53" t="n">
        <v>4</v>
      </c>
      <c r="O26" s="48" t="n">
        <v>3</v>
      </c>
      <c r="P26" s="51" t="n">
        <v>16</v>
      </c>
      <c r="Q26" s="54" t="n">
        <v>100000</v>
      </c>
      <c r="R26" s="54" t="n">
        <v>110000</v>
      </c>
      <c r="S26" s="55" t="n">
        <v>1500</v>
      </c>
      <c r="T26" s="56" t="n">
        <v>1650</v>
      </c>
      <c r="U26" s="56" t="n">
        <v>2700</v>
      </c>
      <c r="V26" s="56" t="n">
        <v>10430</v>
      </c>
      <c r="W26" s="57" t="n">
        <v>250.87</v>
      </c>
      <c r="X26" s="52" t="n">
        <v>30</v>
      </c>
      <c r="Y26" s="48" t="n">
        <v>266.9</v>
      </c>
      <c r="Z26" s="52" t="n">
        <v>30</v>
      </c>
      <c r="AA26" s="91" t="n">
        <v>85.94</v>
      </c>
      <c r="AB26" s="52" t="n">
        <v>15</v>
      </c>
      <c r="AC26" s="48" t="n">
        <v>93.94</v>
      </c>
      <c r="AD26" s="52" t="n">
        <v>15</v>
      </c>
      <c r="AE26" s="52" t="n">
        <v>25</v>
      </c>
      <c r="AF26" s="80" t="n">
        <v>0</v>
      </c>
      <c r="AG26" s="86" t="n">
        <v>185</v>
      </c>
      <c r="AH26" s="62" t="str">
        <f aca="false">IF(AND(AG26&gt;115,H26&gt;=E26,K26&gt;=F26,AF26&lt;=2),"ELIGIBLE","NOT ELIGIBLE")</f>
        <v>ELIGIBLE</v>
      </c>
      <c r="AI26" s="62" t="str">
        <f aca="false">IF(H26&gt;=E26,"ELIGIBLE","NOT ELIGIBLE")</f>
        <v>ELIGIBLE</v>
      </c>
      <c r="AJ26" s="62" t="str">
        <f aca="false">IF(K26&gt;=F26,"ELIGIBLE","NOT ELIGIBLE")</f>
        <v>ELIGIBLE</v>
      </c>
      <c r="AK26" s="62" t="str">
        <f aca="false">IF(AF26&lt;=2,"ELIGIBLE","NOT ELIGIBLE")</f>
        <v>ELIGIBLE</v>
      </c>
      <c r="AL26" s="63" t="e">
        <f aca="false">_xlfn.xlookup(A26,sheet3!a:a,sheet3!i:i)</f>
        <v>#NAME?</v>
      </c>
      <c r="AM26" s="62" t="str">
        <f aca="false">IF(AND(AH26="ELIGIBLE",AI26="ELIGIBLE",AJ26="ELIGIBLE",AK26="ELIGIBLE"),"ELIGIBLE","NOT ELIGIBLE")</f>
        <v>ELIGIBLE</v>
      </c>
      <c r="AN26" s="64" t="n">
        <f aca="false">V26*AG26/100</f>
        <v>19295.5</v>
      </c>
      <c r="AO26" s="65" t="n">
        <f aca="false">AN26/25</f>
        <v>771.82</v>
      </c>
    </row>
    <row r="27" customFormat="false" ht="21.75" hidden="false" customHeight="true" outlineLevel="0" collapsed="false">
      <c r="A27" s="66" t="s">
        <v>102</v>
      </c>
      <c r="B27" s="45" t="s">
        <v>53</v>
      </c>
      <c r="C27" s="46" t="s">
        <v>54</v>
      </c>
      <c r="D27" s="67" t="n">
        <v>24</v>
      </c>
      <c r="E27" s="68" t="n">
        <v>19.2</v>
      </c>
      <c r="F27" s="68" t="n">
        <v>3</v>
      </c>
      <c r="G27" s="69" t="s">
        <v>103</v>
      </c>
      <c r="H27" s="70" t="n">
        <v>35</v>
      </c>
      <c r="I27" s="71" t="n">
        <v>145.83</v>
      </c>
      <c r="J27" s="72" t="n">
        <v>45</v>
      </c>
      <c r="K27" s="68" t="n">
        <v>7</v>
      </c>
      <c r="L27" s="72" t="n">
        <v>25</v>
      </c>
      <c r="M27" s="68" t="n">
        <v>53</v>
      </c>
      <c r="N27" s="73" t="n">
        <v>0</v>
      </c>
      <c r="O27" s="68" t="n">
        <v>0</v>
      </c>
      <c r="P27" s="71" t="n">
        <v>0</v>
      </c>
      <c r="Q27" s="74" t="n">
        <v>0</v>
      </c>
      <c r="R27" s="74" t="n">
        <v>0</v>
      </c>
      <c r="S27" s="75" t="n">
        <v>0</v>
      </c>
      <c r="T27" s="76" t="n">
        <v>0</v>
      </c>
      <c r="U27" s="76" t="n">
        <v>3200</v>
      </c>
      <c r="V27" s="76" t="n">
        <v>9880</v>
      </c>
      <c r="W27" s="77" t="n">
        <v>298.48</v>
      </c>
      <c r="X27" s="72" t="n">
        <v>30</v>
      </c>
      <c r="Y27" s="68" t="n">
        <v>311.78</v>
      </c>
      <c r="Z27" s="72" t="n">
        <v>35</v>
      </c>
      <c r="AA27" s="89" t="n">
        <v>86.29</v>
      </c>
      <c r="AB27" s="72" t="n">
        <v>15</v>
      </c>
      <c r="AC27" s="68" t="n">
        <v>100</v>
      </c>
      <c r="AD27" s="72" t="n">
        <v>20</v>
      </c>
      <c r="AE27" s="72" t="n">
        <v>0</v>
      </c>
      <c r="AF27" s="80" t="n">
        <v>0</v>
      </c>
      <c r="AG27" s="86" t="n">
        <v>170</v>
      </c>
      <c r="AH27" s="81" t="str">
        <f aca="false">IF(AND(AG27&gt;115,H27&gt;=E27,K27&gt;=F27,AF27&lt;=2),"ELIGIBLE","NOT ELIGIBLE")</f>
        <v>ELIGIBLE</v>
      </c>
      <c r="AI27" s="81" t="str">
        <f aca="false">IF(H27&gt;=E27,"ELIGIBLE","NOT ELIGIBLE")</f>
        <v>ELIGIBLE</v>
      </c>
      <c r="AJ27" s="81" t="str">
        <f aca="false">IF(K27&gt;=F27,"ELIGIBLE","NOT ELIGIBLE")</f>
        <v>ELIGIBLE</v>
      </c>
      <c r="AK27" s="81" t="str">
        <f aca="false">IF(AF27&lt;=2,"ELIGIBLE","NOT ELIGIBLE")</f>
        <v>ELIGIBLE</v>
      </c>
      <c r="AL27" s="82" t="e">
        <f aca="false">_xlfn.xlookup(A27,sheet3!a:a,sheet3!i:i)</f>
        <v>#NAME?</v>
      </c>
      <c r="AM27" s="81" t="str">
        <f aca="false">IF(AND(AH27="ELIGIBLE",AI27="ELIGIBLE",AJ27="ELIGIBLE",AK27="ELIGIBLE"),"ELIGIBLE","NOT ELIGIBLE")</f>
        <v>ELIGIBLE</v>
      </c>
      <c r="AN27" s="83" t="n">
        <f aca="false">V27*AG27/100</f>
        <v>16796</v>
      </c>
      <c r="AO27" s="84" t="n">
        <f aca="false">AN27/25</f>
        <v>671.84</v>
      </c>
    </row>
    <row r="28" customFormat="false" ht="21.75" hidden="false" customHeight="true" outlineLevel="0" collapsed="false">
      <c r="A28" s="44" t="s">
        <v>104</v>
      </c>
      <c r="B28" s="87" t="s">
        <v>71</v>
      </c>
      <c r="C28" s="87" t="s">
        <v>72</v>
      </c>
      <c r="D28" s="47" t="n">
        <v>55</v>
      </c>
      <c r="E28" s="48" t="n">
        <v>44</v>
      </c>
      <c r="F28" s="48" t="n">
        <v>11</v>
      </c>
      <c r="G28" s="49" t="s">
        <v>105</v>
      </c>
      <c r="H28" s="50" t="n">
        <v>37</v>
      </c>
      <c r="I28" s="51" t="n">
        <v>67.27</v>
      </c>
      <c r="J28" s="52" t="n">
        <v>0</v>
      </c>
      <c r="K28" s="48" t="n">
        <v>13</v>
      </c>
      <c r="L28" s="52" t="n">
        <v>30</v>
      </c>
      <c r="M28" s="48" t="n">
        <v>71</v>
      </c>
      <c r="N28" s="53" t="n">
        <v>4</v>
      </c>
      <c r="O28" s="48" t="n">
        <v>2</v>
      </c>
      <c r="P28" s="51" t="n">
        <v>10.81</v>
      </c>
      <c r="Q28" s="54" t="n">
        <v>65000</v>
      </c>
      <c r="R28" s="54" t="n">
        <v>85000</v>
      </c>
      <c r="S28" s="55" t="n">
        <v>975</v>
      </c>
      <c r="T28" s="56" t="n">
        <v>1275</v>
      </c>
      <c r="U28" s="56" t="n">
        <v>2200</v>
      </c>
      <c r="V28" s="56" t="n">
        <v>11235</v>
      </c>
      <c r="W28" s="57" t="n">
        <v>109.15</v>
      </c>
      <c r="X28" s="52" t="n">
        <v>15</v>
      </c>
      <c r="Y28" s="48" t="n">
        <v>145.33</v>
      </c>
      <c r="Z28" s="52" t="n">
        <v>0</v>
      </c>
      <c r="AA28" s="91" t="n">
        <v>86.36</v>
      </c>
      <c r="AB28" s="52" t="n">
        <v>10</v>
      </c>
      <c r="AC28" s="48" t="n">
        <v>96.66</v>
      </c>
      <c r="AD28" s="52" t="n">
        <v>20</v>
      </c>
      <c r="AE28" s="52" t="n">
        <v>40</v>
      </c>
      <c r="AF28" s="60" t="n">
        <v>2</v>
      </c>
      <c r="AG28" s="85" t="n">
        <v>115</v>
      </c>
      <c r="AH28" s="62" t="str">
        <f aca="false">IF(AND(AG28&gt;115,H28&gt;=E28,K28&gt;=F28,AF28&lt;=2),"ELIGIBLE","NOT ELIGIBLE")</f>
        <v>NOT ELIGIBLE</v>
      </c>
      <c r="AI28" s="62" t="str">
        <f aca="false">IF(H28&gt;=E28,"ELIGIBLE","NOT ELIGIBLE")</f>
        <v>NOT ELIGIBLE</v>
      </c>
      <c r="AJ28" s="62" t="str">
        <f aca="false">IF(K28&gt;=F28,"ELIGIBLE","NOT ELIGIBLE")</f>
        <v>ELIGIBLE</v>
      </c>
      <c r="AK28" s="62" t="str">
        <f aca="false">IF(AF28&lt;=2,"ELIGIBLE","NOT ELIGIBLE")</f>
        <v>ELIGIBLE</v>
      </c>
      <c r="AL28" s="63" t="e">
        <f aca="false">_xlfn.xlookup(A28,sheet3!a:a,sheet3!i:i)</f>
        <v>#NAME?</v>
      </c>
      <c r="AM28" s="62" t="str">
        <f aca="false">IF(AND(AH28="ELIGIBLE",AI28="ELIGIBLE",AJ28="ELIGIBLE",AK28="ELIGIBLE"),"ELIGIBLE","NOT ELIGIBLE")</f>
        <v>NOT ELIGIBLE</v>
      </c>
      <c r="AN28" s="64" t="n">
        <f aca="false">V28*AG28/100</f>
        <v>12920.25</v>
      </c>
      <c r="AO28" s="65" t="n">
        <f aca="false">AN28/25</f>
        <v>516.81</v>
      </c>
    </row>
    <row r="29" customFormat="false" ht="21.75" hidden="false" customHeight="true" outlineLevel="0" collapsed="false">
      <c r="A29" s="66" t="s">
        <v>106</v>
      </c>
      <c r="B29" s="45" t="s">
        <v>53</v>
      </c>
      <c r="C29" s="46" t="s">
        <v>54</v>
      </c>
      <c r="D29" s="67" t="n">
        <v>24</v>
      </c>
      <c r="E29" s="68" t="n">
        <v>19.2</v>
      </c>
      <c r="F29" s="68" t="n">
        <v>3</v>
      </c>
      <c r="G29" s="69" t="s">
        <v>107</v>
      </c>
      <c r="H29" s="70" t="n">
        <v>8</v>
      </c>
      <c r="I29" s="71" t="n">
        <v>33.33</v>
      </c>
      <c r="J29" s="72" t="n">
        <v>0</v>
      </c>
      <c r="K29" s="68" t="n">
        <v>0</v>
      </c>
      <c r="L29" s="72" t="n">
        <v>0</v>
      </c>
      <c r="M29" s="68" t="n">
        <v>8</v>
      </c>
      <c r="N29" s="73" t="n">
        <v>0</v>
      </c>
      <c r="O29" s="68" t="n">
        <v>0</v>
      </c>
      <c r="P29" s="71" t="n">
        <v>0</v>
      </c>
      <c r="Q29" s="74" t="n">
        <v>0</v>
      </c>
      <c r="R29" s="74" t="n">
        <v>0</v>
      </c>
      <c r="S29" s="75" t="n">
        <v>0</v>
      </c>
      <c r="T29" s="76" t="n">
        <v>0</v>
      </c>
      <c r="U29" s="76" t="n">
        <v>0</v>
      </c>
      <c r="V29" s="76" t="n">
        <v>3980</v>
      </c>
      <c r="W29" s="77" t="n">
        <v>288.71</v>
      </c>
      <c r="X29" s="72" t="n">
        <v>30</v>
      </c>
      <c r="Y29" s="68" t="n">
        <v>308.79</v>
      </c>
      <c r="Z29" s="72" t="n">
        <v>35</v>
      </c>
      <c r="AA29" s="89" t="n">
        <v>86.67</v>
      </c>
      <c r="AB29" s="72" t="n">
        <v>15</v>
      </c>
      <c r="AC29" s="68" t="n">
        <v>80</v>
      </c>
      <c r="AD29" s="72" t="n">
        <v>0</v>
      </c>
      <c r="AE29" s="72" t="n">
        <v>0</v>
      </c>
      <c r="AF29" s="60" t="n">
        <v>1</v>
      </c>
      <c r="AG29" s="85" t="n">
        <v>80</v>
      </c>
      <c r="AH29" s="81" t="str">
        <f aca="false">IF(AND(AG29&gt;115,H29&gt;=E29,K29&gt;=F29,AF29&lt;=2),"ELIGIBLE","NOT ELIGIBLE")</f>
        <v>NOT ELIGIBLE</v>
      </c>
      <c r="AI29" s="81" t="str">
        <f aca="false">IF(H29&gt;=E29,"ELIGIBLE","NOT ELIGIBLE")</f>
        <v>NOT ELIGIBLE</v>
      </c>
      <c r="AJ29" s="81" t="str">
        <f aca="false">IF(K29&gt;=F29,"ELIGIBLE","NOT ELIGIBLE")</f>
        <v>NOT ELIGIBLE</v>
      </c>
      <c r="AK29" s="81" t="str">
        <f aca="false">IF(AF29&lt;=2,"ELIGIBLE","NOT ELIGIBLE")</f>
        <v>ELIGIBLE</v>
      </c>
      <c r="AL29" s="82" t="e">
        <f aca="false">_xlfn.xlookup(A29,sheet3!a:a,sheet3!i:i)</f>
        <v>#NAME?</v>
      </c>
      <c r="AM29" s="81" t="str">
        <f aca="false">IF(AND(AH29="ELIGIBLE",AI29="ELIGIBLE",AJ29="ELIGIBLE",AK29="ELIGIBLE"),"ELIGIBLE","NOT ELIGIBLE")</f>
        <v>NOT ELIGIBLE</v>
      </c>
      <c r="AN29" s="83" t="n">
        <f aca="false">V29*AG29/100</f>
        <v>3184</v>
      </c>
      <c r="AO29" s="84" t="n">
        <f aca="false">AN29/25</f>
        <v>127.36</v>
      </c>
    </row>
    <row r="30" customFormat="false" ht="21.75" hidden="false" customHeight="true" outlineLevel="0" collapsed="false">
      <c r="A30" s="44" t="s">
        <v>108</v>
      </c>
      <c r="B30" s="88" t="s">
        <v>81</v>
      </c>
      <c r="C30" s="46" t="s">
        <v>54</v>
      </c>
      <c r="D30" s="47" t="n">
        <v>25</v>
      </c>
      <c r="E30" s="48" t="n">
        <v>20</v>
      </c>
      <c r="F30" s="48" t="n">
        <v>3.5</v>
      </c>
      <c r="G30" s="49" t="s">
        <v>109</v>
      </c>
      <c r="H30" s="50" t="n">
        <v>20</v>
      </c>
      <c r="I30" s="51" t="n">
        <v>80</v>
      </c>
      <c r="J30" s="52" t="n">
        <v>25</v>
      </c>
      <c r="K30" s="48" t="n">
        <v>4</v>
      </c>
      <c r="L30" s="52" t="n">
        <v>20</v>
      </c>
      <c r="M30" s="48" t="n">
        <v>25</v>
      </c>
      <c r="N30" s="53" t="n">
        <v>1</v>
      </c>
      <c r="O30" s="48" t="n">
        <v>0</v>
      </c>
      <c r="P30" s="51" t="n">
        <v>5</v>
      </c>
      <c r="Q30" s="54" t="n">
        <v>0</v>
      </c>
      <c r="R30" s="54" t="n">
        <v>12000</v>
      </c>
      <c r="S30" s="55" t="n">
        <v>0</v>
      </c>
      <c r="T30" s="56" t="n">
        <v>180</v>
      </c>
      <c r="U30" s="56" t="n">
        <v>2500</v>
      </c>
      <c r="V30" s="56" t="n">
        <v>7680</v>
      </c>
      <c r="W30" s="57" t="n">
        <v>223.54</v>
      </c>
      <c r="X30" s="52" t="n">
        <v>30</v>
      </c>
      <c r="Y30" s="48" t="n">
        <v>230.83</v>
      </c>
      <c r="Z30" s="52" t="n">
        <v>20</v>
      </c>
      <c r="AA30" s="91" t="n">
        <v>87.5</v>
      </c>
      <c r="AB30" s="52" t="n">
        <v>15</v>
      </c>
      <c r="AC30" s="48" t="n">
        <v>100</v>
      </c>
      <c r="AD30" s="52" t="n">
        <v>20</v>
      </c>
      <c r="AE30" s="52" t="n">
        <v>25</v>
      </c>
      <c r="AF30" s="60" t="n">
        <v>1</v>
      </c>
      <c r="AG30" s="86" t="n">
        <v>155</v>
      </c>
      <c r="AH30" s="62" t="str">
        <f aca="false">IF(AND(AG30&gt;115,H30&gt;=E30,K30&gt;=F30,AF30&lt;=2),"ELIGIBLE","NOT ELIGIBLE")</f>
        <v>ELIGIBLE</v>
      </c>
      <c r="AI30" s="62" t="str">
        <f aca="false">IF(H30&gt;=E30,"ELIGIBLE","NOT ELIGIBLE")</f>
        <v>ELIGIBLE</v>
      </c>
      <c r="AJ30" s="62" t="str">
        <f aca="false">IF(K30&gt;=F30,"ELIGIBLE","NOT ELIGIBLE")</f>
        <v>ELIGIBLE</v>
      </c>
      <c r="AK30" s="62" t="str">
        <f aca="false">IF(AF30&lt;=2,"ELIGIBLE","NOT ELIGIBLE")</f>
        <v>ELIGIBLE</v>
      </c>
      <c r="AL30" s="63" t="e">
        <f aca="false">_xlfn.xlookup(A30,sheet3!a:a,sheet3!i:i)</f>
        <v>#NAME?</v>
      </c>
      <c r="AM30" s="62" t="str">
        <f aca="false">IF(AND(AH30="ELIGIBLE",AI30="ELIGIBLE",AJ30="ELIGIBLE",AK30="ELIGIBLE"),"ELIGIBLE","NOT ELIGIBLE")</f>
        <v>ELIGIBLE</v>
      </c>
      <c r="AN30" s="64" t="n">
        <f aca="false">V30*AG30/100</f>
        <v>11904</v>
      </c>
      <c r="AO30" s="65" t="n">
        <f aca="false">AN30/25</f>
        <v>476.16</v>
      </c>
    </row>
    <row r="31" customFormat="false" ht="21.75" hidden="false" customHeight="true" outlineLevel="0" collapsed="false">
      <c r="A31" s="66" t="s">
        <v>110</v>
      </c>
      <c r="B31" s="45" t="s">
        <v>53</v>
      </c>
      <c r="C31" s="46" t="s">
        <v>54</v>
      </c>
      <c r="D31" s="67" t="n">
        <v>24</v>
      </c>
      <c r="E31" s="68" t="n">
        <v>19.2</v>
      </c>
      <c r="F31" s="68" t="n">
        <v>3</v>
      </c>
      <c r="G31" s="69" t="s">
        <v>111</v>
      </c>
      <c r="H31" s="70" t="n">
        <v>19</v>
      </c>
      <c r="I31" s="71" t="n">
        <v>79.17</v>
      </c>
      <c r="J31" s="72" t="n">
        <v>0</v>
      </c>
      <c r="K31" s="68" t="n">
        <v>4</v>
      </c>
      <c r="L31" s="72" t="n">
        <v>20</v>
      </c>
      <c r="M31" s="68" t="n">
        <v>32</v>
      </c>
      <c r="N31" s="73" t="n">
        <v>0</v>
      </c>
      <c r="O31" s="68" t="n">
        <v>0</v>
      </c>
      <c r="P31" s="71" t="n">
        <v>0</v>
      </c>
      <c r="Q31" s="74" t="n">
        <v>0</v>
      </c>
      <c r="R31" s="74" t="n">
        <v>0</v>
      </c>
      <c r="S31" s="75" t="n">
        <v>0</v>
      </c>
      <c r="T31" s="76" t="n">
        <v>0</v>
      </c>
      <c r="U31" s="76" t="n">
        <v>1000</v>
      </c>
      <c r="V31" s="76" t="n">
        <v>6420</v>
      </c>
      <c r="W31" s="77" t="n">
        <v>217</v>
      </c>
      <c r="X31" s="72" t="n">
        <v>30</v>
      </c>
      <c r="Y31" s="68" t="n">
        <v>266.04</v>
      </c>
      <c r="Z31" s="72" t="n">
        <v>30</v>
      </c>
      <c r="AA31" s="89" t="n">
        <v>88.39</v>
      </c>
      <c r="AB31" s="72" t="n">
        <v>15</v>
      </c>
      <c r="AC31" s="68" t="n">
        <v>94.44</v>
      </c>
      <c r="AD31" s="72" t="n">
        <v>15</v>
      </c>
      <c r="AE31" s="72" t="n">
        <v>0</v>
      </c>
      <c r="AF31" s="60" t="n">
        <v>1.5</v>
      </c>
      <c r="AG31" s="85" t="n">
        <v>110</v>
      </c>
      <c r="AH31" s="81" t="str">
        <f aca="false">IF(AND(AG31&gt;115,H31&gt;=E31,K31&gt;=F31,AF31&lt;=2),"ELIGIBLE","NOT ELIGIBLE")</f>
        <v>NOT ELIGIBLE</v>
      </c>
      <c r="AI31" s="81" t="str">
        <f aca="false">IF(H31&gt;=E31,"ELIGIBLE","NOT ELIGIBLE")</f>
        <v>NOT ELIGIBLE</v>
      </c>
      <c r="AJ31" s="81" t="str">
        <f aca="false">IF(K31&gt;=F31,"ELIGIBLE","NOT ELIGIBLE")</f>
        <v>ELIGIBLE</v>
      </c>
      <c r="AK31" s="81" t="str">
        <f aca="false">IF(AF31&lt;=2,"ELIGIBLE","NOT ELIGIBLE")</f>
        <v>ELIGIBLE</v>
      </c>
      <c r="AL31" s="82" t="e">
        <f aca="false">_xlfn.xlookup(A31,sheet3!a:a,sheet3!i:i)</f>
        <v>#NAME?</v>
      </c>
      <c r="AM31" s="81" t="str">
        <f aca="false">IF(AND(AH31="ELIGIBLE",AI31="ELIGIBLE",AJ31="ELIGIBLE",AK31="ELIGIBLE"),"ELIGIBLE","NOT ELIGIBLE")</f>
        <v>NOT ELIGIBLE</v>
      </c>
      <c r="AN31" s="83" t="n">
        <f aca="false">V31*AG31/100</f>
        <v>7062</v>
      </c>
      <c r="AO31" s="84" t="n">
        <f aca="false">AN31/25</f>
        <v>282.48</v>
      </c>
    </row>
    <row r="32" customFormat="false" ht="21.75" hidden="false" customHeight="true" outlineLevel="0" collapsed="false">
      <c r="A32" s="44" t="s">
        <v>112</v>
      </c>
      <c r="B32" s="87" t="s">
        <v>71</v>
      </c>
      <c r="C32" s="87" t="s">
        <v>72</v>
      </c>
      <c r="D32" s="47" t="n">
        <v>55</v>
      </c>
      <c r="E32" s="48" t="n">
        <v>44</v>
      </c>
      <c r="F32" s="48" t="n">
        <v>11</v>
      </c>
      <c r="G32" s="49" t="s">
        <v>113</v>
      </c>
      <c r="H32" s="50" t="n">
        <v>52</v>
      </c>
      <c r="I32" s="51" t="n">
        <v>94.55</v>
      </c>
      <c r="J32" s="52" t="n">
        <v>35</v>
      </c>
      <c r="K32" s="48" t="n">
        <v>20</v>
      </c>
      <c r="L32" s="52" t="n">
        <v>40</v>
      </c>
      <c r="M32" s="48" t="n">
        <v>100</v>
      </c>
      <c r="N32" s="53" t="n">
        <v>5</v>
      </c>
      <c r="O32" s="48" t="n">
        <v>4</v>
      </c>
      <c r="P32" s="51" t="n">
        <v>9.62</v>
      </c>
      <c r="Q32" s="54" t="n">
        <v>105001</v>
      </c>
      <c r="R32" s="54" t="n">
        <v>115001</v>
      </c>
      <c r="S32" s="55" t="n">
        <v>1575.02</v>
      </c>
      <c r="T32" s="56" t="n">
        <v>1725.02</v>
      </c>
      <c r="U32" s="56" t="n">
        <v>3700</v>
      </c>
      <c r="V32" s="56" t="n">
        <v>14925.02</v>
      </c>
      <c r="W32" s="57" t="n">
        <v>141.21</v>
      </c>
      <c r="X32" s="52" t="n">
        <v>30</v>
      </c>
      <c r="Y32" s="48" t="n">
        <v>204.08</v>
      </c>
      <c r="Z32" s="52" t="n">
        <v>0</v>
      </c>
      <c r="AA32" s="91" t="n">
        <v>88.89</v>
      </c>
      <c r="AB32" s="52" t="n">
        <v>10</v>
      </c>
      <c r="AC32" s="59"/>
      <c r="AD32" s="52" t="n">
        <v>15</v>
      </c>
      <c r="AE32" s="52" t="n">
        <v>25</v>
      </c>
      <c r="AF32" s="80" t="n">
        <v>0</v>
      </c>
      <c r="AG32" s="86" t="n">
        <v>155</v>
      </c>
      <c r="AH32" s="62" t="str">
        <f aca="false">IF(AND(AG32&gt;115,H32&gt;=E32,K32&gt;=F32,AF32&lt;=2),"ELIGIBLE","NOT ELIGIBLE")</f>
        <v>ELIGIBLE</v>
      </c>
      <c r="AI32" s="62" t="str">
        <f aca="false">IF(H32&gt;=E32,"ELIGIBLE","NOT ELIGIBLE")</f>
        <v>ELIGIBLE</v>
      </c>
      <c r="AJ32" s="62" t="str">
        <f aca="false">IF(K32&gt;=F32,"ELIGIBLE","NOT ELIGIBLE")</f>
        <v>ELIGIBLE</v>
      </c>
      <c r="AK32" s="62" t="str">
        <f aca="false">IF(AF32&lt;=2,"ELIGIBLE","NOT ELIGIBLE")</f>
        <v>ELIGIBLE</v>
      </c>
      <c r="AL32" s="63" t="e">
        <f aca="false">_xlfn.xlookup(A32,sheet3!a:a,sheet3!i:i)</f>
        <v>#NAME?</v>
      </c>
      <c r="AM32" s="62" t="str">
        <f aca="false">IF(AND(AH32="ELIGIBLE",AI32="ELIGIBLE",AJ32="ELIGIBLE",AK32="ELIGIBLE"),"ELIGIBLE","NOT ELIGIBLE")</f>
        <v>ELIGIBLE</v>
      </c>
      <c r="AN32" s="64" t="n">
        <f aca="false">V32*AG32/100</f>
        <v>23133.781</v>
      </c>
      <c r="AO32" s="65" t="n">
        <f aca="false">AN32/25</f>
        <v>925.35124</v>
      </c>
    </row>
    <row r="33" customFormat="false" ht="21.75" hidden="false" customHeight="true" outlineLevel="0" collapsed="false">
      <c r="A33" s="66" t="s">
        <v>114</v>
      </c>
      <c r="B33" s="87" t="s">
        <v>71</v>
      </c>
      <c r="C33" s="87" t="s">
        <v>72</v>
      </c>
      <c r="D33" s="67" t="n">
        <v>55</v>
      </c>
      <c r="E33" s="68" t="n">
        <v>44</v>
      </c>
      <c r="F33" s="68" t="n">
        <v>11</v>
      </c>
      <c r="G33" s="69" t="s">
        <v>115</v>
      </c>
      <c r="H33" s="70" t="n">
        <v>31</v>
      </c>
      <c r="I33" s="71" t="n">
        <v>56.36</v>
      </c>
      <c r="J33" s="72" t="n">
        <v>0</v>
      </c>
      <c r="K33" s="68" t="n">
        <v>10</v>
      </c>
      <c r="L33" s="72" t="n">
        <v>20</v>
      </c>
      <c r="M33" s="68" t="n">
        <v>55</v>
      </c>
      <c r="N33" s="73" t="n">
        <v>2</v>
      </c>
      <c r="O33" s="68" t="n">
        <v>1</v>
      </c>
      <c r="P33" s="71" t="n">
        <v>6.45</v>
      </c>
      <c r="Q33" s="74" t="n">
        <v>20000</v>
      </c>
      <c r="R33" s="74" t="n">
        <v>30000</v>
      </c>
      <c r="S33" s="75" t="n">
        <v>300</v>
      </c>
      <c r="T33" s="76" t="n">
        <v>450</v>
      </c>
      <c r="U33" s="76" t="n">
        <v>1200</v>
      </c>
      <c r="V33" s="76" t="n">
        <v>8450</v>
      </c>
      <c r="W33" s="77" t="n">
        <v>203.35</v>
      </c>
      <c r="X33" s="72" t="n">
        <v>45</v>
      </c>
      <c r="Y33" s="68" t="n">
        <v>299.58</v>
      </c>
      <c r="Z33" s="72" t="n">
        <v>0</v>
      </c>
      <c r="AA33" s="89" t="n">
        <v>89.85</v>
      </c>
      <c r="AB33" s="72" t="n">
        <v>10</v>
      </c>
      <c r="AC33" s="68" t="n">
        <v>90.54</v>
      </c>
      <c r="AD33" s="72" t="n">
        <v>15</v>
      </c>
      <c r="AE33" s="72" t="n">
        <v>25</v>
      </c>
      <c r="AF33" s="60" t="n">
        <v>2</v>
      </c>
      <c r="AG33" s="85" t="n">
        <v>115</v>
      </c>
      <c r="AH33" s="81" t="str">
        <f aca="false">IF(AND(AG33&gt;115,H33&gt;=E33,K33&gt;=F33,AF33&lt;=2),"ELIGIBLE","NOT ELIGIBLE")</f>
        <v>NOT ELIGIBLE</v>
      </c>
      <c r="AI33" s="81" t="str">
        <f aca="false">IF(H33&gt;=E33,"ELIGIBLE","NOT ELIGIBLE")</f>
        <v>NOT ELIGIBLE</v>
      </c>
      <c r="AJ33" s="81" t="str">
        <f aca="false">IF(K33&gt;=F33,"ELIGIBLE","NOT ELIGIBLE")</f>
        <v>NOT ELIGIBLE</v>
      </c>
      <c r="AK33" s="81" t="str">
        <f aca="false">IF(AF33&lt;=2,"ELIGIBLE","NOT ELIGIBLE")</f>
        <v>ELIGIBLE</v>
      </c>
      <c r="AL33" s="82" t="e">
        <f aca="false">_xlfn.xlookup(A33,sheet3!a:a,sheet3!i:i)</f>
        <v>#NAME?</v>
      </c>
      <c r="AM33" s="81" t="str">
        <f aca="false">IF(AND(AH33="ELIGIBLE",AI33="ELIGIBLE",AJ33="ELIGIBLE",AK33="ELIGIBLE"),"ELIGIBLE","NOT ELIGIBLE")</f>
        <v>NOT ELIGIBLE</v>
      </c>
      <c r="AN33" s="83" t="n">
        <f aca="false">V33*AG33/100</f>
        <v>9717.5</v>
      </c>
      <c r="AO33" s="84" t="n">
        <f aca="false">AN33/25</f>
        <v>388.7</v>
      </c>
    </row>
    <row r="34" customFormat="false" ht="21.75" hidden="false" customHeight="true" outlineLevel="0" collapsed="false">
      <c r="A34" s="44" t="s">
        <v>116</v>
      </c>
      <c r="B34" s="88" t="s">
        <v>81</v>
      </c>
      <c r="C34" s="92" t="s">
        <v>90</v>
      </c>
      <c r="D34" s="47" t="n">
        <v>160</v>
      </c>
      <c r="E34" s="48" t="n">
        <v>128</v>
      </c>
      <c r="F34" s="48" t="n">
        <v>28</v>
      </c>
      <c r="G34" s="49" t="s">
        <v>117</v>
      </c>
      <c r="H34" s="50" t="n">
        <v>133</v>
      </c>
      <c r="I34" s="51" t="n">
        <v>83.13</v>
      </c>
      <c r="J34" s="52" t="n">
        <v>20</v>
      </c>
      <c r="K34" s="48" t="n">
        <v>39</v>
      </c>
      <c r="L34" s="52" t="n">
        <v>40</v>
      </c>
      <c r="M34" s="48" t="n">
        <v>211</v>
      </c>
      <c r="N34" s="53" t="n">
        <v>16</v>
      </c>
      <c r="O34" s="48" t="n">
        <v>9</v>
      </c>
      <c r="P34" s="51" t="n">
        <v>6.77</v>
      </c>
      <c r="Q34" s="54" t="n">
        <v>560100</v>
      </c>
      <c r="R34" s="54" t="n">
        <v>633100</v>
      </c>
      <c r="S34" s="55" t="n">
        <v>8401.5</v>
      </c>
      <c r="T34" s="56" t="n">
        <v>9496.5</v>
      </c>
      <c r="U34" s="56" t="n">
        <v>2500</v>
      </c>
      <c r="V34" s="56" t="n">
        <v>27061.5</v>
      </c>
      <c r="W34" s="57" t="n">
        <v>152.97</v>
      </c>
      <c r="X34" s="52" t="n">
        <v>40</v>
      </c>
      <c r="Y34" s="48" t="n">
        <v>187.72</v>
      </c>
      <c r="Z34" s="52" t="n">
        <v>0</v>
      </c>
      <c r="AA34" s="91" t="n">
        <v>90.61</v>
      </c>
      <c r="AB34" s="52" t="n">
        <v>15</v>
      </c>
      <c r="AC34" s="48" t="n">
        <v>97.85</v>
      </c>
      <c r="AD34" s="52" t="n">
        <v>20</v>
      </c>
      <c r="AE34" s="52" t="n">
        <v>0</v>
      </c>
      <c r="AF34" s="80" t="n">
        <v>0</v>
      </c>
      <c r="AG34" s="86" t="n">
        <v>135</v>
      </c>
      <c r="AH34" s="62" t="str">
        <f aca="false">IF(AND(AG34&gt;115,H34&gt;=E34,K34&gt;=F34,AF34&lt;=2),"ELIGIBLE","NOT ELIGIBLE")</f>
        <v>ELIGIBLE</v>
      </c>
      <c r="AI34" s="62" t="str">
        <f aca="false">IF(H34&gt;=E34,"ELIGIBLE","NOT ELIGIBLE")</f>
        <v>ELIGIBLE</v>
      </c>
      <c r="AJ34" s="62" t="str">
        <f aca="false">IF(K34&gt;=F34,"ELIGIBLE","NOT ELIGIBLE")</f>
        <v>ELIGIBLE</v>
      </c>
      <c r="AK34" s="62" t="str">
        <f aca="false">IF(AF34&lt;=2,"ELIGIBLE","NOT ELIGIBLE")</f>
        <v>ELIGIBLE</v>
      </c>
      <c r="AL34" s="63" t="e">
        <f aca="false">_xlfn.xlookup(A34,sheet3!a:a,sheet3!i:i)</f>
        <v>#NAME?</v>
      </c>
      <c r="AM34" s="62" t="str">
        <f aca="false">IF(AND(AH34="ELIGIBLE",AI34="ELIGIBLE",AJ34="ELIGIBLE",AK34="ELIGIBLE"),"ELIGIBLE","NOT ELIGIBLE")</f>
        <v>ELIGIBLE</v>
      </c>
      <c r="AN34" s="64" t="n">
        <f aca="false">V34*AG34/100</f>
        <v>36533.025</v>
      </c>
      <c r="AO34" s="65" t="n">
        <f aca="false">AN34/25</f>
        <v>1461.321</v>
      </c>
    </row>
    <row r="35" customFormat="false" ht="21.75" hidden="false" customHeight="true" outlineLevel="0" collapsed="false">
      <c r="A35" s="66" t="s">
        <v>118</v>
      </c>
      <c r="B35" s="87" t="s">
        <v>71</v>
      </c>
      <c r="C35" s="87" t="s">
        <v>72</v>
      </c>
      <c r="D35" s="67" t="n">
        <v>55</v>
      </c>
      <c r="E35" s="68" t="n">
        <v>44</v>
      </c>
      <c r="F35" s="68" t="n">
        <v>11</v>
      </c>
      <c r="G35" s="69" t="s">
        <v>119</v>
      </c>
      <c r="H35" s="70" t="n">
        <v>44</v>
      </c>
      <c r="I35" s="71" t="n">
        <v>80</v>
      </c>
      <c r="J35" s="72" t="n">
        <v>20</v>
      </c>
      <c r="K35" s="68" t="n">
        <v>20</v>
      </c>
      <c r="L35" s="72" t="n">
        <v>40</v>
      </c>
      <c r="M35" s="68" t="n">
        <v>92</v>
      </c>
      <c r="N35" s="73" t="n">
        <v>2</v>
      </c>
      <c r="O35" s="68" t="n">
        <v>1</v>
      </c>
      <c r="P35" s="71" t="n">
        <v>4.55</v>
      </c>
      <c r="Q35" s="74" t="n">
        <v>34000</v>
      </c>
      <c r="R35" s="74" t="n">
        <v>44000</v>
      </c>
      <c r="S35" s="75" t="n">
        <v>510</v>
      </c>
      <c r="T35" s="76" t="n">
        <v>660</v>
      </c>
      <c r="U35" s="76" t="n">
        <v>1500</v>
      </c>
      <c r="V35" s="76" t="n">
        <v>11180</v>
      </c>
      <c r="W35" s="77" t="n">
        <v>123.54</v>
      </c>
      <c r="X35" s="72" t="n">
        <v>15</v>
      </c>
      <c r="Y35" s="68" t="n">
        <v>150.18</v>
      </c>
      <c r="Z35" s="72" t="n">
        <v>0</v>
      </c>
      <c r="AA35" s="89" t="n">
        <v>90.63</v>
      </c>
      <c r="AB35" s="72" t="n">
        <v>15</v>
      </c>
      <c r="AC35" s="68" t="n">
        <v>92.06</v>
      </c>
      <c r="AD35" s="72" t="n">
        <v>15</v>
      </c>
      <c r="AE35" s="72" t="n">
        <v>25</v>
      </c>
      <c r="AF35" s="60" t="n">
        <v>1.5</v>
      </c>
      <c r="AG35" s="86" t="n">
        <v>130</v>
      </c>
      <c r="AH35" s="81" t="str">
        <f aca="false">IF(AND(AG35&gt;115,H35&gt;=E35,K35&gt;=F35,AF35&lt;=2),"ELIGIBLE","NOT ELIGIBLE")</f>
        <v>ELIGIBLE</v>
      </c>
      <c r="AI35" s="81" t="str">
        <f aca="false">IF(H35&gt;=E35,"ELIGIBLE","NOT ELIGIBLE")</f>
        <v>ELIGIBLE</v>
      </c>
      <c r="AJ35" s="81" t="str">
        <f aca="false">IF(K35&gt;=F35,"ELIGIBLE","NOT ELIGIBLE")</f>
        <v>ELIGIBLE</v>
      </c>
      <c r="AK35" s="81" t="str">
        <f aca="false">IF(AF35&lt;=2,"ELIGIBLE","NOT ELIGIBLE")</f>
        <v>ELIGIBLE</v>
      </c>
      <c r="AL35" s="82" t="e">
        <f aca="false">_xlfn.xlookup(A35,sheet3!a:a,sheet3!i:i)</f>
        <v>#NAME?</v>
      </c>
      <c r="AM35" s="81" t="str">
        <f aca="false">IF(AND(AH35="ELIGIBLE",AI35="ELIGIBLE",AJ35="ELIGIBLE",AK35="ELIGIBLE"),"ELIGIBLE","NOT ELIGIBLE")</f>
        <v>ELIGIBLE</v>
      </c>
      <c r="AN35" s="83" t="n">
        <f aca="false">V35*AG35/100</f>
        <v>14534</v>
      </c>
      <c r="AO35" s="84" t="n">
        <f aca="false">AN35/25</f>
        <v>581.36</v>
      </c>
    </row>
    <row r="36" customFormat="false" ht="21.75" hidden="false" customHeight="true" outlineLevel="0" collapsed="false">
      <c r="A36" s="44" t="s">
        <v>120</v>
      </c>
      <c r="B36" s="87" t="s">
        <v>71</v>
      </c>
      <c r="C36" s="87" t="s">
        <v>72</v>
      </c>
      <c r="D36" s="47" t="n">
        <v>55</v>
      </c>
      <c r="E36" s="48" t="n">
        <v>44</v>
      </c>
      <c r="F36" s="48" t="n">
        <v>11</v>
      </c>
      <c r="G36" s="49" t="s">
        <v>121</v>
      </c>
      <c r="H36" s="50" t="n">
        <v>41</v>
      </c>
      <c r="I36" s="51" t="n">
        <v>74.55</v>
      </c>
      <c r="J36" s="52" t="n">
        <v>0</v>
      </c>
      <c r="K36" s="48" t="n">
        <v>14</v>
      </c>
      <c r="L36" s="52" t="n">
        <v>30</v>
      </c>
      <c r="M36" s="48" t="n">
        <v>75</v>
      </c>
      <c r="N36" s="53" t="n">
        <v>6</v>
      </c>
      <c r="O36" s="48" t="n">
        <v>1</v>
      </c>
      <c r="P36" s="51" t="n">
        <v>14.63</v>
      </c>
      <c r="Q36" s="54" t="n">
        <v>20000</v>
      </c>
      <c r="R36" s="54" t="n">
        <v>70000</v>
      </c>
      <c r="S36" s="55" t="n">
        <v>300</v>
      </c>
      <c r="T36" s="56" t="n">
        <v>1050</v>
      </c>
      <c r="U36" s="56" t="n">
        <v>1400</v>
      </c>
      <c r="V36" s="56" t="n">
        <v>10450</v>
      </c>
      <c r="W36" s="57" t="n">
        <v>148.58</v>
      </c>
      <c r="X36" s="52" t="n">
        <v>30</v>
      </c>
      <c r="Y36" s="48" t="n">
        <v>209</v>
      </c>
      <c r="Z36" s="52" t="n">
        <v>0</v>
      </c>
      <c r="AA36" s="91" t="n">
        <v>90.68</v>
      </c>
      <c r="AB36" s="52" t="n">
        <v>15</v>
      </c>
      <c r="AC36" s="48" t="n">
        <v>93.86</v>
      </c>
      <c r="AD36" s="52" t="n">
        <v>15</v>
      </c>
      <c r="AE36" s="52" t="n">
        <v>45</v>
      </c>
      <c r="AF36" s="60" t="n">
        <v>1</v>
      </c>
      <c r="AG36" s="86" t="n">
        <v>135</v>
      </c>
      <c r="AH36" s="62" t="str">
        <f aca="false">IF(AND(AG36&gt;115,H36&gt;=E36,K36&gt;=F36,AF36&lt;=2),"ELIGIBLE","NOT ELIGIBLE")</f>
        <v>NOT ELIGIBLE</v>
      </c>
      <c r="AI36" s="62" t="str">
        <f aca="false">IF(H36&gt;=E36,"ELIGIBLE","NOT ELIGIBLE")</f>
        <v>NOT ELIGIBLE</v>
      </c>
      <c r="AJ36" s="62" t="str">
        <f aca="false">IF(K36&gt;=F36,"ELIGIBLE","NOT ELIGIBLE")</f>
        <v>ELIGIBLE</v>
      </c>
      <c r="AK36" s="62" t="str">
        <f aca="false">IF(AF36&lt;=2,"ELIGIBLE","NOT ELIGIBLE")</f>
        <v>ELIGIBLE</v>
      </c>
      <c r="AL36" s="63" t="e">
        <f aca="false">_xlfn.xlookup(A36,sheet3!a:a,sheet3!i:i)</f>
        <v>#NAME?</v>
      </c>
      <c r="AM36" s="62" t="str">
        <f aca="false">IF(AND(AH36="ELIGIBLE",AI36="ELIGIBLE",AJ36="ELIGIBLE",AK36="ELIGIBLE"),"ELIGIBLE","NOT ELIGIBLE")</f>
        <v>NOT ELIGIBLE</v>
      </c>
      <c r="AN36" s="64" t="n">
        <f aca="false">V36*AG36/100</f>
        <v>14107.5</v>
      </c>
      <c r="AO36" s="65" t="n">
        <f aca="false">AN36/25</f>
        <v>564.3</v>
      </c>
    </row>
    <row r="37" customFormat="false" ht="21.75" hidden="false" customHeight="true" outlineLevel="0" collapsed="false">
      <c r="A37" s="66" t="s">
        <v>122</v>
      </c>
      <c r="B37" s="88" t="s">
        <v>81</v>
      </c>
      <c r="C37" s="92" t="s">
        <v>90</v>
      </c>
      <c r="D37" s="67" t="n">
        <v>160</v>
      </c>
      <c r="E37" s="68" t="n">
        <v>128</v>
      </c>
      <c r="F37" s="68" t="n">
        <v>28</v>
      </c>
      <c r="G37" s="69" t="s">
        <v>123</v>
      </c>
      <c r="H37" s="70" t="n">
        <v>131</v>
      </c>
      <c r="I37" s="71" t="n">
        <v>81.88</v>
      </c>
      <c r="J37" s="72" t="n">
        <v>20</v>
      </c>
      <c r="K37" s="68" t="n">
        <v>46</v>
      </c>
      <c r="L37" s="72" t="n">
        <v>40</v>
      </c>
      <c r="M37" s="68" t="n">
        <v>224</v>
      </c>
      <c r="N37" s="73" t="n">
        <v>22</v>
      </c>
      <c r="O37" s="68" t="n">
        <v>17</v>
      </c>
      <c r="P37" s="71" t="n">
        <v>12.98</v>
      </c>
      <c r="Q37" s="74" t="n">
        <v>478500</v>
      </c>
      <c r="R37" s="74" t="n">
        <v>532088</v>
      </c>
      <c r="S37" s="75" t="n">
        <v>7177.5</v>
      </c>
      <c r="T37" s="76" t="n">
        <v>7981.32</v>
      </c>
      <c r="U37" s="76" t="n">
        <v>2500</v>
      </c>
      <c r="V37" s="76" t="n">
        <v>26617.5</v>
      </c>
      <c r="W37" s="77" t="n">
        <v>144.15</v>
      </c>
      <c r="X37" s="72" t="n">
        <v>40</v>
      </c>
      <c r="Y37" s="68" t="n">
        <v>176.15</v>
      </c>
      <c r="Z37" s="72" t="n">
        <v>0</v>
      </c>
      <c r="AA37" s="89" t="n">
        <v>91.03</v>
      </c>
      <c r="AB37" s="72" t="n">
        <v>15</v>
      </c>
      <c r="AC37" s="68" t="n">
        <v>84.44</v>
      </c>
      <c r="AD37" s="72" t="n">
        <v>0</v>
      </c>
      <c r="AE37" s="72" t="n">
        <v>25</v>
      </c>
      <c r="AF37" s="60" t="n">
        <v>1</v>
      </c>
      <c r="AG37" s="86" t="n">
        <v>140</v>
      </c>
      <c r="AH37" s="81" t="str">
        <f aca="false">IF(AND(AG37&gt;115,H37&gt;=E37,K37&gt;=F37,AF37&lt;=2),"ELIGIBLE","NOT ELIGIBLE")</f>
        <v>ELIGIBLE</v>
      </c>
      <c r="AI37" s="81" t="str">
        <f aca="false">IF(H37&gt;=E37,"ELIGIBLE","NOT ELIGIBLE")</f>
        <v>ELIGIBLE</v>
      </c>
      <c r="AJ37" s="81" t="str">
        <f aca="false">IF(K37&gt;=F37,"ELIGIBLE","NOT ELIGIBLE")</f>
        <v>ELIGIBLE</v>
      </c>
      <c r="AK37" s="81" t="str">
        <f aca="false">IF(AF37&lt;=2,"ELIGIBLE","NOT ELIGIBLE")</f>
        <v>ELIGIBLE</v>
      </c>
      <c r="AL37" s="82" t="e">
        <f aca="false">_xlfn.xlookup(A37,sheet3!a:a,sheet3!i:i)</f>
        <v>#NAME?</v>
      </c>
      <c r="AM37" s="81" t="str">
        <f aca="false">IF(AND(AH37="ELIGIBLE",AI37="ELIGIBLE",AJ37="ELIGIBLE",AK37="ELIGIBLE"),"ELIGIBLE","NOT ELIGIBLE")</f>
        <v>ELIGIBLE</v>
      </c>
      <c r="AN37" s="83" t="n">
        <f aca="false">V37*AG37/100</f>
        <v>37264.5</v>
      </c>
      <c r="AO37" s="84" t="n">
        <f aca="false">AN37/25</f>
        <v>1490.58</v>
      </c>
    </row>
    <row r="38" customFormat="false" ht="21.75" hidden="false" customHeight="true" outlineLevel="0" collapsed="false">
      <c r="A38" s="44" t="s">
        <v>124</v>
      </c>
      <c r="B38" s="87" t="s">
        <v>71</v>
      </c>
      <c r="C38" s="87" t="s">
        <v>72</v>
      </c>
      <c r="D38" s="47" t="n">
        <v>40</v>
      </c>
      <c r="E38" s="48" t="n">
        <v>32</v>
      </c>
      <c r="F38" s="48" t="n">
        <v>8</v>
      </c>
      <c r="G38" s="49" t="s">
        <v>125</v>
      </c>
      <c r="H38" s="50" t="n">
        <v>45</v>
      </c>
      <c r="I38" s="51" t="n">
        <v>112.5</v>
      </c>
      <c r="J38" s="52" t="n">
        <v>40</v>
      </c>
      <c r="K38" s="48" t="n">
        <v>15</v>
      </c>
      <c r="L38" s="52" t="n">
        <v>40</v>
      </c>
      <c r="M38" s="48" t="n">
        <v>78</v>
      </c>
      <c r="N38" s="53" t="n">
        <v>2</v>
      </c>
      <c r="O38" s="48" t="n">
        <v>1</v>
      </c>
      <c r="P38" s="51" t="n">
        <v>4.44</v>
      </c>
      <c r="Q38" s="54" t="n">
        <v>25000</v>
      </c>
      <c r="R38" s="54" t="n">
        <v>36111</v>
      </c>
      <c r="S38" s="55" t="n">
        <v>375</v>
      </c>
      <c r="T38" s="56" t="n">
        <v>541.67</v>
      </c>
      <c r="U38" s="56" t="n">
        <v>2800</v>
      </c>
      <c r="V38" s="56" t="n">
        <v>11521.67</v>
      </c>
      <c r="W38" s="57" t="n">
        <v>178.81</v>
      </c>
      <c r="X38" s="52" t="n">
        <v>45</v>
      </c>
      <c r="Y38" s="48" t="n">
        <v>225.63</v>
      </c>
      <c r="Z38" s="52" t="n">
        <v>0</v>
      </c>
      <c r="AA38" s="91" t="n">
        <v>91.09</v>
      </c>
      <c r="AB38" s="52" t="n">
        <v>15</v>
      </c>
      <c r="AC38" s="48" t="n">
        <v>97.97</v>
      </c>
      <c r="AD38" s="52" t="n">
        <v>20</v>
      </c>
      <c r="AE38" s="52" t="n">
        <v>25</v>
      </c>
      <c r="AF38" s="60" t="n">
        <v>0.5</v>
      </c>
      <c r="AG38" s="86" t="n">
        <v>185</v>
      </c>
      <c r="AH38" s="62" t="str">
        <f aca="false">IF(AND(AG38&gt;115,H38&gt;=E38,K38&gt;=F38,AF38&lt;=2),"ELIGIBLE","NOT ELIGIBLE")</f>
        <v>ELIGIBLE</v>
      </c>
      <c r="AI38" s="62" t="str">
        <f aca="false">IF(H38&gt;=E38,"ELIGIBLE","NOT ELIGIBLE")</f>
        <v>ELIGIBLE</v>
      </c>
      <c r="AJ38" s="62" t="str">
        <f aca="false">IF(K38&gt;=F38,"ELIGIBLE","NOT ELIGIBLE")</f>
        <v>ELIGIBLE</v>
      </c>
      <c r="AK38" s="62" t="str">
        <f aca="false">IF(AF38&lt;=2,"ELIGIBLE","NOT ELIGIBLE")</f>
        <v>ELIGIBLE</v>
      </c>
      <c r="AL38" s="63" t="e">
        <f aca="false">_xlfn.xlookup(A38,sheet3!a:a,sheet3!i:i)</f>
        <v>#NAME?</v>
      </c>
      <c r="AM38" s="62" t="str">
        <f aca="false">IF(AND(AH38="ELIGIBLE",AI38="ELIGIBLE",AJ38="ELIGIBLE",AK38="ELIGIBLE"),"ELIGIBLE","NOT ELIGIBLE")</f>
        <v>ELIGIBLE</v>
      </c>
      <c r="AN38" s="64" t="n">
        <f aca="false">V38*AG38/100</f>
        <v>21315.0895</v>
      </c>
      <c r="AO38" s="65" t="n">
        <f aca="false">AN38/25</f>
        <v>852.60358</v>
      </c>
    </row>
    <row r="39" customFormat="false" ht="21.75" hidden="false" customHeight="true" outlineLevel="0" collapsed="false">
      <c r="A39" s="66" t="s">
        <v>126</v>
      </c>
      <c r="B39" s="88" t="s">
        <v>81</v>
      </c>
      <c r="C39" s="92" t="s">
        <v>90</v>
      </c>
      <c r="D39" s="67" t="n">
        <v>160</v>
      </c>
      <c r="E39" s="68" t="n">
        <v>128</v>
      </c>
      <c r="F39" s="68" t="n">
        <v>28</v>
      </c>
      <c r="G39" s="69" t="s">
        <v>127</v>
      </c>
      <c r="H39" s="70" t="n">
        <v>141</v>
      </c>
      <c r="I39" s="71" t="n">
        <v>88.13</v>
      </c>
      <c r="J39" s="72" t="n">
        <v>35</v>
      </c>
      <c r="K39" s="68" t="n">
        <v>41</v>
      </c>
      <c r="L39" s="72" t="n">
        <v>40</v>
      </c>
      <c r="M39" s="68" t="n">
        <v>225</v>
      </c>
      <c r="N39" s="73" t="n">
        <v>18</v>
      </c>
      <c r="O39" s="68" t="n">
        <v>8</v>
      </c>
      <c r="P39" s="71" t="n">
        <v>5.67</v>
      </c>
      <c r="Q39" s="74" t="n">
        <v>350001</v>
      </c>
      <c r="R39" s="74" t="n">
        <v>460571</v>
      </c>
      <c r="S39" s="75" t="n">
        <v>5250.02</v>
      </c>
      <c r="T39" s="76" t="n">
        <v>6908.57</v>
      </c>
      <c r="U39" s="76" t="n">
        <v>2900</v>
      </c>
      <c r="V39" s="76" t="n">
        <v>25150.02</v>
      </c>
      <c r="W39" s="77" t="n">
        <v>163.67</v>
      </c>
      <c r="X39" s="72" t="n">
        <v>40</v>
      </c>
      <c r="Y39" s="68" t="n">
        <v>192.93</v>
      </c>
      <c r="Z39" s="72" t="n">
        <v>0</v>
      </c>
      <c r="AA39" s="89" t="n">
        <v>91.13</v>
      </c>
      <c r="AB39" s="72" t="n">
        <v>15</v>
      </c>
      <c r="AC39" s="68" t="n">
        <v>95.8</v>
      </c>
      <c r="AD39" s="72" t="n">
        <v>20</v>
      </c>
      <c r="AE39" s="72" t="n">
        <v>0</v>
      </c>
      <c r="AF39" s="80" t="n">
        <v>0</v>
      </c>
      <c r="AG39" s="86" t="n">
        <v>150</v>
      </c>
      <c r="AH39" s="81" t="str">
        <f aca="false">IF(AND(AG39&gt;115,H39&gt;=E39,K39&gt;=F39,AF39&lt;=2),"ELIGIBLE","NOT ELIGIBLE")</f>
        <v>ELIGIBLE</v>
      </c>
      <c r="AI39" s="81" t="str">
        <f aca="false">IF(H39&gt;=E39,"ELIGIBLE","NOT ELIGIBLE")</f>
        <v>ELIGIBLE</v>
      </c>
      <c r="AJ39" s="81" t="str">
        <f aca="false">IF(K39&gt;=F39,"ELIGIBLE","NOT ELIGIBLE")</f>
        <v>ELIGIBLE</v>
      </c>
      <c r="AK39" s="81" t="str">
        <f aca="false">IF(AF39&lt;=2,"ELIGIBLE","NOT ELIGIBLE")</f>
        <v>ELIGIBLE</v>
      </c>
      <c r="AL39" s="82" t="e">
        <f aca="false">_xlfn.xlookup(A39,sheet3!a:a,sheet3!i:i)</f>
        <v>#NAME?</v>
      </c>
      <c r="AM39" s="81" t="str">
        <f aca="false">IF(AND(AH39="ELIGIBLE",AI39="ELIGIBLE",AJ39="ELIGIBLE",AK39="ELIGIBLE"),"ELIGIBLE","NOT ELIGIBLE")</f>
        <v>ELIGIBLE</v>
      </c>
      <c r="AN39" s="83" t="n">
        <f aca="false">V39*AG39/100</f>
        <v>37725.03</v>
      </c>
      <c r="AO39" s="84" t="n">
        <f aca="false">AN39/25</f>
        <v>1509.0012</v>
      </c>
    </row>
    <row r="40" customFormat="false" ht="21.75" hidden="false" customHeight="true" outlineLevel="0" collapsed="false">
      <c r="A40" s="44" t="s">
        <v>128</v>
      </c>
      <c r="B40" s="45" t="s">
        <v>53</v>
      </c>
      <c r="C40" s="46" t="s">
        <v>54</v>
      </c>
      <c r="D40" s="47" t="n">
        <v>24</v>
      </c>
      <c r="E40" s="48" t="n">
        <v>19.2</v>
      </c>
      <c r="F40" s="48" t="n">
        <v>3</v>
      </c>
      <c r="G40" s="49" t="s">
        <v>129</v>
      </c>
      <c r="H40" s="50" t="n">
        <v>21</v>
      </c>
      <c r="I40" s="51" t="n">
        <v>87.5</v>
      </c>
      <c r="J40" s="52" t="n">
        <v>40</v>
      </c>
      <c r="K40" s="48" t="n">
        <v>6</v>
      </c>
      <c r="L40" s="52" t="n">
        <v>25</v>
      </c>
      <c r="M40" s="48" t="n">
        <v>44</v>
      </c>
      <c r="N40" s="53" t="n">
        <v>5</v>
      </c>
      <c r="O40" s="48" t="n">
        <v>2</v>
      </c>
      <c r="P40" s="51" t="n">
        <v>23.81</v>
      </c>
      <c r="Q40" s="54" t="n">
        <v>52000</v>
      </c>
      <c r="R40" s="54" t="n">
        <v>82000</v>
      </c>
      <c r="S40" s="55" t="n">
        <v>780</v>
      </c>
      <c r="T40" s="56" t="n">
        <v>1230</v>
      </c>
      <c r="U40" s="56" t="n">
        <v>1000</v>
      </c>
      <c r="V40" s="56" t="n">
        <v>8370</v>
      </c>
      <c r="W40" s="57" t="n">
        <v>224.69</v>
      </c>
      <c r="X40" s="52" t="n">
        <v>30</v>
      </c>
      <c r="Y40" s="48" t="n">
        <v>243.12</v>
      </c>
      <c r="Z40" s="52" t="n">
        <v>20</v>
      </c>
      <c r="AA40" s="91" t="n">
        <v>91.52</v>
      </c>
      <c r="AB40" s="52" t="n">
        <v>20</v>
      </c>
      <c r="AC40" s="48" t="n">
        <v>85.71</v>
      </c>
      <c r="AD40" s="52" t="n">
        <v>10</v>
      </c>
      <c r="AE40" s="52" t="n">
        <v>25</v>
      </c>
      <c r="AF40" s="60" t="n">
        <v>1.5</v>
      </c>
      <c r="AG40" s="86" t="n">
        <v>170</v>
      </c>
      <c r="AH40" s="62" t="str">
        <f aca="false">IF(AND(AG40&gt;115,H40&gt;=E40,K40&gt;=F40,AF40&lt;=2),"ELIGIBLE","NOT ELIGIBLE")</f>
        <v>ELIGIBLE</v>
      </c>
      <c r="AI40" s="62" t="str">
        <f aca="false">IF(H40&gt;=E40,"ELIGIBLE","NOT ELIGIBLE")</f>
        <v>ELIGIBLE</v>
      </c>
      <c r="AJ40" s="62" t="str">
        <f aca="false">IF(K40&gt;=F40,"ELIGIBLE","NOT ELIGIBLE")</f>
        <v>ELIGIBLE</v>
      </c>
      <c r="AK40" s="62" t="str">
        <f aca="false">IF(AF40&lt;=2,"ELIGIBLE","NOT ELIGIBLE")</f>
        <v>ELIGIBLE</v>
      </c>
      <c r="AL40" s="63" t="e">
        <f aca="false">_xlfn.xlookup(A40,sheet3!a:a,sheet3!i:i)</f>
        <v>#NAME?</v>
      </c>
      <c r="AM40" s="62" t="str">
        <f aca="false">IF(AND(AH40="ELIGIBLE",AI40="ELIGIBLE",AJ40="ELIGIBLE",AK40="ELIGIBLE"),"ELIGIBLE","NOT ELIGIBLE")</f>
        <v>ELIGIBLE</v>
      </c>
      <c r="AN40" s="64" t="n">
        <f aca="false">V40*AG40/100</f>
        <v>14229</v>
      </c>
      <c r="AO40" s="65" t="n">
        <f aca="false">AN40/25</f>
        <v>569.16</v>
      </c>
    </row>
    <row r="41" customFormat="false" ht="21.75" hidden="false" customHeight="true" outlineLevel="0" collapsed="false">
      <c r="A41" s="66" t="s">
        <v>130</v>
      </c>
      <c r="B41" s="88" t="s">
        <v>81</v>
      </c>
      <c r="C41" s="46" t="s">
        <v>54</v>
      </c>
      <c r="D41" s="67" t="n">
        <v>25</v>
      </c>
      <c r="E41" s="68" t="n">
        <v>20</v>
      </c>
      <c r="F41" s="68" t="n">
        <v>3.5</v>
      </c>
      <c r="G41" s="69" t="s">
        <v>131</v>
      </c>
      <c r="H41" s="70" t="n">
        <v>25</v>
      </c>
      <c r="I41" s="71" t="n">
        <v>100</v>
      </c>
      <c r="J41" s="72" t="n">
        <v>45</v>
      </c>
      <c r="K41" s="68" t="n">
        <v>7</v>
      </c>
      <c r="L41" s="72" t="n">
        <v>25</v>
      </c>
      <c r="M41" s="68" t="n">
        <v>44</v>
      </c>
      <c r="N41" s="73" t="n">
        <v>4</v>
      </c>
      <c r="O41" s="68" t="n">
        <v>0</v>
      </c>
      <c r="P41" s="71" t="n">
        <v>16</v>
      </c>
      <c r="Q41" s="74" t="n">
        <v>0</v>
      </c>
      <c r="R41" s="74" t="n">
        <v>47112</v>
      </c>
      <c r="S41" s="75" t="n">
        <v>0</v>
      </c>
      <c r="T41" s="76" t="n">
        <v>706.68</v>
      </c>
      <c r="U41" s="76" t="n">
        <v>1500</v>
      </c>
      <c r="V41" s="76" t="n">
        <v>8346.68</v>
      </c>
      <c r="W41" s="77" t="n">
        <v>227.78</v>
      </c>
      <c r="X41" s="72" t="n">
        <v>30</v>
      </c>
      <c r="Y41" s="68" t="n">
        <v>253.74</v>
      </c>
      <c r="Z41" s="72" t="n">
        <v>30</v>
      </c>
      <c r="AA41" s="89" t="n">
        <v>92.5</v>
      </c>
      <c r="AB41" s="72" t="n">
        <v>20</v>
      </c>
      <c r="AC41" s="79"/>
      <c r="AD41" s="72" t="n">
        <v>15</v>
      </c>
      <c r="AE41" s="72" t="n">
        <v>25</v>
      </c>
      <c r="AF41" s="60" t="n">
        <v>2</v>
      </c>
      <c r="AG41" s="86" t="n">
        <v>190</v>
      </c>
      <c r="AH41" s="81" t="str">
        <f aca="false">IF(AND(AG41&gt;115,H41&gt;=E41,K41&gt;=F41,AF41&lt;=2),"ELIGIBLE","NOT ELIGIBLE")</f>
        <v>ELIGIBLE</v>
      </c>
      <c r="AI41" s="81" t="str">
        <f aca="false">IF(H41&gt;=E41,"ELIGIBLE","NOT ELIGIBLE")</f>
        <v>ELIGIBLE</v>
      </c>
      <c r="AJ41" s="81" t="str">
        <f aca="false">IF(K41&gt;=F41,"ELIGIBLE","NOT ELIGIBLE")</f>
        <v>ELIGIBLE</v>
      </c>
      <c r="AK41" s="81" t="str">
        <f aca="false">IF(AF41&lt;=2,"ELIGIBLE","NOT ELIGIBLE")</f>
        <v>ELIGIBLE</v>
      </c>
      <c r="AL41" s="82" t="e">
        <f aca="false">_xlfn.xlookup(A41,sheet3!a:a,sheet3!i:i)</f>
        <v>#NAME?</v>
      </c>
      <c r="AM41" s="81" t="str">
        <f aca="false">IF(AND(AH41="ELIGIBLE",AI41="ELIGIBLE",AJ41="ELIGIBLE",AK41="ELIGIBLE"),"ELIGIBLE","NOT ELIGIBLE")</f>
        <v>ELIGIBLE</v>
      </c>
      <c r="AN41" s="83" t="n">
        <f aca="false">V41*AG41/100</f>
        <v>15858.692</v>
      </c>
      <c r="AO41" s="84" t="n">
        <f aca="false">AN41/25</f>
        <v>634.34768</v>
      </c>
    </row>
    <row r="42" customFormat="false" ht="21.75" hidden="false" customHeight="true" outlineLevel="0" collapsed="false">
      <c r="A42" s="44" t="s">
        <v>132</v>
      </c>
      <c r="B42" s="87" t="s">
        <v>71</v>
      </c>
      <c r="C42" s="87" t="s">
        <v>72</v>
      </c>
      <c r="D42" s="47" t="n">
        <v>55</v>
      </c>
      <c r="E42" s="48" t="n">
        <v>44</v>
      </c>
      <c r="F42" s="48" t="n">
        <v>11</v>
      </c>
      <c r="G42" s="49" t="s">
        <v>133</v>
      </c>
      <c r="H42" s="50" t="n">
        <v>61</v>
      </c>
      <c r="I42" s="51" t="n">
        <v>110.91</v>
      </c>
      <c r="J42" s="52" t="n">
        <v>40</v>
      </c>
      <c r="K42" s="48" t="n">
        <v>14</v>
      </c>
      <c r="L42" s="52" t="n">
        <v>30</v>
      </c>
      <c r="M42" s="48" t="n">
        <v>109</v>
      </c>
      <c r="N42" s="53" t="n">
        <v>1</v>
      </c>
      <c r="O42" s="48" t="n">
        <v>0</v>
      </c>
      <c r="P42" s="51" t="n">
        <v>1.64</v>
      </c>
      <c r="Q42" s="54" t="n">
        <v>0</v>
      </c>
      <c r="R42" s="54" t="n">
        <v>10000</v>
      </c>
      <c r="S42" s="55" t="n">
        <v>0</v>
      </c>
      <c r="T42" s="56" t="n">
        <v>150</v>
      </c>
      <c r="U42" s="56" t="n">
        <v>3100</v>
      </c>
      <c r="V42" s="56" t="n">
        <v>13290</v>
      </c>
      <c r="W42" s="57" t="n">
        <v>194.88</v>
      </c>
      <c r="X42" s="52" t="n">
        <v>45</v>
      </c>
      <c r="Y42" s="48" t="n">
        <v>268.73</v>
      </c>
      <c r="Z42" s="52" t="n">
        <v>0</v>
      </c>
      <c r="AA42" s="91" t="n">
        <v>93.71</v>
      </c>
      <c r="AB42" s="52" t="n">
        <v>15</v>
      </c>
      <c r="AC42" s="48" t="n">
        <v>97.67</v>
      </c>
      <c r="AD42" s="52" t="n">
        <v>20</v>
      </c>
      <c r="AE42" s="52" t="n">
        <v>0</v>
      </c>
      <c r="AF42" s="60" t="n">
        <v>1</v>
      </c>
      <c r="AG42" s="86" t="n">
        <v>150</v>
      </c>
      <c r="AH42" s="62" t="str">
        <f aca="false">IF(AND(AG42&gt;115,H42&gt;=E42,K42&gt;=F42,AF42&lt;=2),"ELIGIBLE","NOT ELIGIBLE")</f>
        <v>ELIGIBLE</v>
      </c>
      <c r="AI42" s="62" t="str">
        <f aca="false">IF(H42&gt;=E42,"ELIGIBLE","NOT ELIGIBLE")</f>
        <v>ELIGIBLE</v>
      </c>
      <c r="AJ42" s="62" t="str">
        <f aca="false">IF(K42&gt;=F42,"ELIGIBLE","NOT ELIGIBLE")</f>
        <v>ELIGIBLE</v>
      </c>
      <c r="AK42" s="62" t="str">
        <f aca="false">IF(AF42&lt;=2,"ELIGIBLE","NOT ELIGIBLE")</f>
        <v>ELIGIBLE</v>
      </c>
      <c r="AL42" s="63" t="e">
        <f aca="false">_xlfn.xlookup(A42,sheet3!a:a,sheet3!i:i)</f>
        <v>#NAME?</v>
      </c>
      <c r="AM42" s="62" t="str">
        <f aca="false">IF(AND(AH42="ELIGIBLE",AI42="ELIGIBLE",AJ42="ELIGIBLE",AK42="ELIGIBLE"),"ELIGIBLE","NOT ELIGIBLE")</f>
        <v>ELIGIBLE</v>
      </c>
      <c r="AN42" s="64" t="n">
        <f aca="false">V42*AG42/100</f>
        <v>19935</v>
      </c>
      <c r="AO42" s="65" t="n">
        <f aca="false">AN42/25</f>
        <v>797.4</v>
      </c>
    </row>
    <row r="43" customFormat="false" ht="21.75" hidden="false" customHeight="true" outlineLevel="0" collapsed="false">
      <c r="A43" s="66" t="s">
        <v>134</v>
      </c>
      <c r="B43" s="88" t="s">
        <v>81</v>
      </c>
      <c r="C43" s="46" t="s">
        <v>54</v>
      </c>
      <c r="D43" s="67" t="n">
        <v>25</v>
      </c>
      <c r="E43" s="68" t="n">
        <v>20</v>
      </c>
      <c r="F43" s="68" t="n">
        <v>3.5</v>
      </c>
      <c r="G43" s="69" t="s">
        <v>135</v>
      </c>
      <c r="H43" s="70" t="n">
        <v>22</v>
      </c>
      <c r="I43" s="71" t="n">
        <v>88</v>
      </c>
      <c r="J43" s="72" t="n">
        <v>40</v>
      </c>
      <c r="K43" s="68" t="n">
        <v>4</v>
      </c>
      <c r="L43" s="72" t="n">
        <v>20</v>
      </c>
      <c r="M43" s="68" t="n">
        <v>28</v>
      </c>
      <c r="N43" s="73" t="n">
        <v>2</v>
      </c>
      <c r="O43" s="68" t="n">
        <v>0</v>
      </c>
      <c r="P43" s="71" t="n">
        <v>9.09</v>
      </c>
      <c r="Q43" s="74" t="n">
        <v>0</v>
      </c>
      <c r="R43" s="74" t="n">
        <v>20000</v>
      </c>
      <c r="S43" s="75" t="n">
        <v>0</v>
      </c>
      <c r="T43" s="76" t="n">
        <v>300</v>
      </c>
      <c r="U43" s="76" t="n">
        <v>1700</v>
      </c>
      <c r="V43" s="76" t="n">
        <v>7180</v>
      </c>
      <c r="W43" s="77" t="n">
        <v>261.65</v>
      </c>
      <c r="X43" s="72" t="n">
        <v>30</v>
      </c>
      <c r="Y43" s="68" t="n">
        <v>309.35</v>
      </c>
      <c r="Z43" s="72" t="n">
        <v>35</v>
      </c>
      <c r="AA43" s="89" t="n">
        <v>94.53</v>
      </c>
      <c r="AB43" s="72" t="n">
        <v>20</v>
      </c>
      <c r="AC43" s="68" t="n">
        <v>100</v>
      </c>
      <c r="AD43" s="72" t="n">
        <v>20</v>
      </c>
      <c r="AE43" s="72" t="n">
        <v>25</v>
      </c>
      <c r="AF43" s="80" t="n">
        <v>0</v>
      </c>
      <c r="AG43" s="86" t="n">
        <v>190</v>
      </c>
      <c r="AH43" s="81" t="str">
        <f aca="false">IF(AND(AG43&gt;115,H43&gt;=E43,K43&gt;=F43,AF43&lt;=2),"ELIGIBLE","NOT ELIGIBLE")</f>
        <v>ELIGIBLE</v>
      </c>
      <c r="AI43" s="81" t="str">
        <f aca="false">IF(H43&gt;=E43,"ELIGIBLE","NOT ELIGIBLE")</f>
        <v>ELIGIBLE</v>
      </c>
      <c r="AJ43" s="81" t="str">
        <f aca="false">IF(K43&gt;=F43,"ELIGIBLE","NOT ELIGIBLE")</f>
        <v>ELIGIBLE</v>
      </c>
      <c r="AK43" s="81" t="str">
        <f aca="false">IF(AF43&lt;=2,"ELIGIBLE","NOT ELIGIBLE")</f>
        <v>ELIGIBLE</v>
      </c>
      <c r="AL43" s="82" t="e">
        <f aca="false">_xlfn.xlookup(A43,sheet3!a:a,sheet3!i:i)</f>
        <v>#NAME?</v>
      </c>
      <c r="AM43" s="81" t="str">
        <f aca="false">IF(AND(AH43="ELIGIBLE",AI43="ELIGIBLE",AJ43="ELIGIBLE",AK43="ELIGIBLE"),"ELIGIBLE","NOT ELIGIBLE")</f>
        <v>ELIGIBLE</v>
      </c>
      <c r="AN43" s="83" t="n">
        <f aca="false">V43*AG43/100</f>
        <v>13642</v>
      </c>
      <c r="AO43" s="84" t="n">
        <f aca="false">AN43/25</f>
        <v>545.68</v>
      </c>
    </row>
    <row r="44" customFormat="false" ht="21.75" hidden="false" customHeight="true" outlineLevel="0" collapsed="false">
      <c r="A44" s="44" t="s">
        <v>136</v>
      </c>
      <c r="B44" s="87" t="s">
        <v>71</v>
      </c>
      <c r="C44" s="87" t="s">
        <v>72</v>
      </c>
      <c r="D44" s="47" t="n">
        <v>0</v>
      </c>
      <c r="E44" s="48" t="n">
        <v>0</v>
      </c>
      <c r="F44" s="48" t="n">
        <v>0</v>
      </c>
      <c r="G44" s="49" t="s">
        <v>137</v>
      </c>
      <c r="H44" s="50" t="n">
        <v>35</v>
      </c>
      <c r="I44" s="51"/>
      <c r="J44" s="52" t="n">
        <v>0</v>
      </c>
      <c r="K44" s="48" t="n">
        <v>7</v>
      </c>
      <c r="L44" s="52" t="n">
        <v>0</v>
      </c>
      <c r="M44" s="48" t="n">
        <v>58</v>
      </c>
      <c r="N44" s="53" t="n">
        <v>3</v>
      </c>
      <c r="O44" s="48" t="n">
        <v>1</v>
      </c>
      <c r="P44" s="51" t="n">
        <v>8.57</v>
      </c>
      <c r="Q44" s="54" t="n">
        <v>18000</v>
      </c>
      <c r="R44" s="54" t="n">
        <v>38000</v>
      </c>
      <c r="S44" s="55" t="n">
        <v>270</v>
      </c>
      <c r="T44" s="56" t="n">
        <v>570</v>
      </c>
      <c r="U44" s="56" t="n">
        <v>1600</v>
      </c>
      <c r="V44" s="56" t="n">
        <v>9150</v>
      </c>
      <c r="W44" s="57" t="n">
        <v>150.2</v>
      </c>
      <c r="X44" s="52" t="n">
        <v>45</v>
      </c>
      <c r="Y44" s="48" t="n">
        <v>211.65</v>
      </c>
      <c r="Z44" s="52" t="n">
        <v>0</v>
      </c>
      <c r="AA44" s="91" t="n">
        <v>94.85</v>
      </c>
      <c r="AB44" s="52" t="n">
        <v>15</v>
      </c>
      <c r="AC44" s="59"/>
      <c r="AD44" s="52" t="n">
        <v>15</v>
      </c>
      <c r="AE44" s="52" t="n">
        <v>25</v>
      </c>
      <c r="AF44" s="90" t="n">
        <v>6</v>
      </c>
      <c r="AG44" s="85" t="n">
        <v>100</v>
      </c>
      <c r="AH44" s="62" t="str">
        <f aca="false">IF(AND(AG44&gt;115,H44&gt;=E44,K44&gt;=F44,AF44&lt;=2),"ELIGIBLE","NOT ELIGIBLE")</f>
        <v>NOT ELIGIBLE</v>
      </c>
      <c r="AI44" s="62" t="str">
        <f aca="false">IF(H44&gt;=E44,"ELIGIBLE","NOT ELIGIBLE")</f>
        <v>ELIGIBLE</v>
      </c>
      <c r="AJ44" s="62" t="str">
        <f aca="false">IF(K44&gt;=F44,"ELIGIBLE","NOT ELIGIBLE")</f>
        <v>ELIGIBLE</v>
      </c>
      <c r="AK44" s="62" t="str">
        <f aca="false">IF(AF44&lt;=2,"ELIGIBLE","NOT ELIGIBLE")</f>
        <v>NOT ELIGIBLE</v>
      </c>
      <c r="AL44" s="63" t="e">
        <f aca="false">_xlfn.xlookup(A44,sheet3!a:a,sheet3!i:i)</f>
        <v>#NAME?</v>
      </c>
      <c r="AM44" s="62" t="str">
        <f aca="false">IF(AND(AH44="ELIGIBLE",AI44="ELIGIBLE",AJ44="ELIGIBLE",AK44="ELIGIBLE"),"ELIGIBLE","NOT ELIGIBLE")</f>
        <v>NOT ELIGIBLE</v>
      </c>
      <c r="AN44" s="64" t="n">
        <f aca="false">V44*AG44/100</f>
        <v>9150</v>
      </c>
      <c r="AO44" s="65" t="n">
        <f aca="false">AN44/25</f>
        <v>366</v>
      </c>
    </row>
    <row r="45" customFormat="false" ht="21.75" hidden="false" customHeight="true" outlineLevel="0" collapsed="false">
      <c r="A45" s="66" t="s">
        <v>138</v>
      </c>
      <c r="B45" s="88" t="s">
        <v>81</v>
      </c>
      <c r="C45" s="46" t="s">
        <v>54</v>
      </c>
      <c r="D45" s="67" t="n">
        <v>25</v>
      </c>
      <c r="E45" s="68" t="n">
        <v>20</v>
      </c>
      <c r="F45" s="68" t="n">
        <v>3.5</v>
      </c>
      <c r="G45" s="69" t="s">
        <v>139</v>
      </c>
      <c r="H45" s="70" t="n">
        <v>13</v>
      </c>
      <c r="I45" s="71" t="n">
        <v>52</v>
      </c>
      <c r="J45" s="72" t="n">
        <v>0</v>
      </c>
      <c r="K45" s="68" t="n">
        <v>2</v>
      </c>
      <c r="L45" s="72" t="n">
        <v>15</v>
      </c>
      <c r="M45" s="68" t="n">
        <v>20</v>
      </c>
      <c r="N45" s="73" t="n">
        <v>0</v>
      </c>
      <c r="O45" s="68" t="n">
        <v>0</v>
      </c>
      <c r="P45" s="71" t="n">
        <v>0</v>
      </c>
      <c r="Q45" s="74" t="n">
        <v>0</v>
      </c>
      <c r="R45" s="74" t="n">
        <v>0</v>
      </c>
      <c r="S45" s="75" t="n">
        <v>0</v>
      </c>
      <c r="T45" s="76" t="n">
        <v>0</v>
      </c>
      <c r="U45" s="76" t="n">
        <v>500</v>
      </c>
      <c r="V45" s="76" t="n">
        <v>5200</v>
      </c>
      <c r="W45" s="77" t="n">
        <v>231.5</v>
      </c>
      <c r="X45" s="72" t="n">
        <v>30</v>
      </c>
      <c r="Y45" s="68" t="n">
        <v>248.38</v>
      </c>
      <c r="Z45" s="72" t="n">
        <v>20</v>
      </c>
      <c r="AA45" s="89" t="n">
        <v>95.74</v>
      </c>
      <c r="AB45" s="72" t="n">
        <v>20</v>
      </c>
      <c r="AC45" s="79"/>
      <c r="AD45" s="72" t="n">
        <v>15</v>
      </c>
      <c r="AE45" s="72" t="n">
        <v>0</v>
      </c>
      <c r="AF45" s="90" t="n">
        <v>3</v>
      </c>
      <c r="AG45" s="85" t="n">
        <v>100</v>
      </c>
      <c r="AH45" s="81" t="str">
        <f aca="false">IF(AND(AG45&gt;115,H45&gt;=E45,K45&gt;=F45,AF45&lt;=2),"ELIGIBLE","NOT ELIGIBLE")</f>
        <v>NOT ELIGIBLE</v>
      </c>
      <c r="AI45" s="81" t="str">
        <f aca="false">IF(H45&gt;=E45,"ELIGIBLE","NOT ELIGIBLE")</f>
        <v>NOT ELIGIBLE</v>
      </c>
      <c r="AJ45" s="81" t="str">
        <f aca="false">IF(K45&gt;=F45,"ELIGIBLE","NOT ELIGIBLE")</f>
        <v>NOT ELIGIBLE</v>
      </c>
      <c r="AK45" s="81" t="str">
        <f aca="false">IF(AF45&lt;=2,"ELIGIBLE","NOT ELIGIBLE")</f>
        <v>NOT ELIGIBLE</v>
      </c>
      <c r="AL45" s="82" t="e">
        <f aca="false">_xlfn.xlookup(A45,sheet3!a:a,sheet3!i:i)</f>
        <v>#NAME?</v>
      </c>
      <c r="AM45" s="81" t="str">
        <f aca="false">IF(AND(AH45="ELIGIBLE",AI45="ELIGIBLE",AJ45="ELIGIBLE",AK45="ELIGIBLE"),"ELIGIBLE","NOT ELIGIBLE")</f>
        <v>NOT ELIGIBLE</v>
      </c>
      <c r="AN45" s="83" t="n">
        <f aca="false">V45*AG45/100</f>
        <v>5200</v>
      </c>
      <c r="AO45" s="84" t="n">
        <f aca="false">AN45/25</f>
        <v>208</v>
      </c>
    </row>
    <row r="46" customFormat="false" ht="21.75" hidden="false" customHeight="true" outlineLevel="0" collapsed="false">
      <c r="A46" s="44" t="s">
        <v>140</v>
      </c>
      <c r="B46" s="87" t="s">
        <v>71</v>
      </c>
      <c r="C46" s="87" t="s">
        <v>72</v>
      </c>
      <c r="D46" s="47" t="n">
        <v>55</v>
      </c>
      <c r="E46" s="48" t="n">
        <v>44</v>
      </c>
      <c r="F46" s="48" t="n">
        <v>11</v>
      </c>
      <c r="G46" s="49" t="s">
        <v>141</v>
      </c>
      <c r="H46" s="50" t="n">
        <v>22</v>
      </c>
      <c r="I46" s="51" t="n">
        <v>40</v>
      </c>
      <c r="J46" s="52" t="n">
        <v>0</v>
      </c>
      <c r="K46" s="48" t="n">
        <v>5</v>
      </c>
      <c r="L46" s="52" t="n">
        <v>0</v>
      </c>
      <c r="M46" s="48" t="n">
        <v>33</v>
      </c>
      <c r="N46" s="53" t="n">
        <v>0</v>
      </c>
      <c r="O46" s="48" t="n">
        <v>0</v>
      </c>
      <c r="P46" s="51" t="n">
        <v>0</v>
      </c>
      <c r="Q46" s="54" t="n">
        <v>0</v>
      </c>
      <c r="R46" s="54" t="n">
        <v>0</v>
      </c>
      <c r="S46" s="55" t="n">
        <v>0</v>
      </c>
      <c r="T46" s="56" t="n">
        <v>0</v>
      </c>
      <c r="U46" s="56" t="n">
        <v>0</v>
      </c>
      <c r="V46" s="56" t="n">
        <v>5480</v>
      </c>
      <c r="W46" s="57" t="n">
        <v>158.76</v>
      </c>
      <c r="X46" s="52" t="n">
        <v>45</v>
      </c>
      <c r="Y46" s="48" t="n">
        <v>186.8</v>
      </c>
      <c r="Z46" s="52" t="n">
        <v>0</v>
      </c>
      <c r="AA46" s="91" t="n">
        <v>96.03</v>
      </c>
      <c r="AB46" s="52" t="n">
        <v>15</v>
      </c>
      <c r="AC46" s="48" t="n">
        <v>92.6</v>
      </c>
      <c r="AD46" s="52" t="n">
        <v>15</v>
      </c>
      <c r="AE46" s="52" t="n">
        <v>0</v>
      </c>
      <c r="AF46" s="60" t="n">
        <v>2</v>
      </c>
      <c r="AG46" s="61" t="n">
        <v>75</v>
      </c>
      <c r="AH46" s="62" t="str">
        <f aca="false">IF(AND(AG46&gt;115,H46&gt;=E46,K46&gt;=F46,AF46&lt;=2),"ELIGIBLE","NOT ELIGIBLE")</f>
        <v>NOT ELIGIBLE</v>
      </c>
      <c r="AI46" s="62" t="str">
        <f aca="false">IF(H46&gt;=E46,"ELIGIBLE","NOT ELIGIBLE")</f>
        <v>NOT ELIGIBLE</v>
      </c>
      <c r="AJ46" s="62" t="str">
        <f aca="false">IF(K46&gt;=F46,"ELIGIBLE","NOT ELIGIBLE")</f>
        <v>NOT ELIGIBLE</v>
      </c>
      <c r="AK46" s="62" t="str">
        <f aca="false">IF(AF46&lt;=2,"ELIGIBLE","NOT ELIGIBLE")</f>
        <v>ELIGIBLE</v>
      </c>
      <c r="AL46" s="63" t="e">
        <f aca="false">_xlfn.xlookup(A46,sheet3!a:a,sheet3!i:i)</f>
        <v>#NAME?</v>
      </c>
      <c r="AM46" s="62" t="str">
        <f aca="false">IF(AND(AH46="ELIGIBLE",AI46="ELIGIBLE",AJ46="ELIGIBLE",AK46="ELIGIBLE"),"ELIGIBLE","NOT ELIGIBLE")</f>
        <v>NOT ELIGIBLE</v>
      </c>
      <c r="AN46" s="64" t="n">
        <f aca="false">V46*AG46/100</f>
        <v>4110</v>
      </c>
      <c r="AO46" s="65" t="n">
        <f aca="false">AN46/25</f>
        <v>164.4</v>
      </c>
    </row>
    <row r="47" customFormat="false" ht="21.75" hidden="false" customHeight="true" outlineLevel="0" collapsed="false">
      <c r="A47" s="66" t="s">
        <v>142</v>
      </c>
      <c r="B47" s="88" t="s">
        <v>81</v>
      </c>
      <c r="C47" s="92" t="s">
        <v>90</v>
      </c>
      <c r="D47" s="67" t="n">
        <v>100</v>
      </c>
      <c r="E47" s="68" t="n">
        <v>80</v>
      </c>
      <c r="F47" s="68" t="n">
        <v>14</v>
      </c>
      <c r="G47" s="69" t="s">
        <v>143</v>
      </c>
      <c r="H47" s="70" t="n">
        <v>63</v>
      </c>
      <c r="I47" s="71" t="n">
        <v>63</v>
      </c>
      <c r="J47" s="72" t="n">
        <v>0</v>
      </c>
      <c r="K47" s="68" t="n">
        <v>18</v>
      </c>
      <c r="L47" s="72" t="n">
        <v>0</v>
      </c>
      <c r="M47" s="68" t="n">
        <v>101</v>
      </c>
      <c r="N47" s="73" t="n">
        <v>9</v>
      </c>
      <c r="O47" s="68" t="n">
        <v>5</v>
      </c>
      <c r="P47" s="71" t="n">
        <v>7.94</v>
      </c>
      <c r="Q47" s="74" t="n">
        <v>111000</v>
      </c>
      <c r="R47" s="74" t="n">
        <v>153500</v>
      </c>
      <c r="S47" s="75" t="n">
        <v>1665</v>
      </c>
      <c r="T47" s="76" t="n">
        <v>2302.5</v>
      </c>
      <c r="U47" s="76" t="n">
        <v>0</v>
      </c>
      <c r="V47" s="76" t="n">
        <v>11225</v>
      </c>
      <c r="W47" s="77" t="n">
        <v>195.62</v>
      </c>
      <c r="X47" s="72" t="n">
        <v>40</v>
      </c>
      <c r="Y47" s="68" t="n">
        <v>248.62</v>
      </c>
      <c r="Z47" s="72" t="n">
        <v>0</v>
      </c>
      <c r="AA47" s="89" t="n">
        <v>96.43</v>
      </c>
      <c r="AB47" s="72" t="n">
        <v>15</v>
      </c>
      <c r="AC47" s="68" t="n">
        <v>97.34</v>
      </c>
      <c r="AD47" s="72" t="n">
        <v>20</v>
      </c>
      <c r="AE47" s="72" t="n">
        <v>0</v>
      </c>
      <c r="AF47" s="80" t="n">
        <v>0</v>
      </c>
      <c r="AG47" s="61" t="n">
        <v>75</v>
      </c>
      <c r="AH47" s="81" t="str">
        <f aca="false">IF(AND(AG47&gt;115,H47&gt;=E47,K47&gt;=F47,AF47&lt;=2),"ELIGIBLE","NOT ELIGIBLE")</f>
        <v>NOT ELIGIBLE</v>
      </c>
      <c r="AI47" s="81" t="str">
        <f aca="false">IF(H47&gt;=E47,"ELIGIBLE","NOT ELIGIBLE")</f>
        <v>NOT ELIGIBLE</v>
      </c>
      <c r="AJ47" s="81" t="str">
        <f aca="false">IF(K47&gt;=F47,"ELIGIBLE","NOT ELIGIBLE")</f>
        <v>ELIGIBLE</v>
      </c>
      <c r="AK47" s="81" t="str">
        <f aca="false">IF(AF47&lt;=2,"ELIGIBLE","NOT ELIGIBLE")</f>
        <v>ELIGIBLE</v>
      </c>
      <c r="AL47" s="82" t="e">
        <f aca="false">_xlfn.xlookup(A47,sheet3!a:a,sheet3!i:i)</f>
        <v>#NAME?</v>
      </c>
      <c r="AM47" s="81" t="str">
        <f aca="false">IF(AND(AH47="ELIGIBLE",AI47="ELIGIBLE",AJ47="ELIGIBLE",AK47="ELIGIBLE"),"ELIGIBLE","NOT ELIGIBLE")</f>
        <v>NOT ELIGIBLE</v>
      </c>
      <c r="AN47" s="83" t="n">
        <f aca="false">V47*AG47/100</f>
        <v>8418.75</v>
      </c>
      <c r="AO47" s="84" t="n">
        <f aca="false">AN47/25</f>
        <v>336.75</v>
      </c>
    </row>
  </sheetData>
  <autoFilter ref="A2:AO2"/>
  <mergeCells count="8">
    <mergeCell ref="A1:C1"/>
    <mergeCell ref="D1:F1"/>
    <mergeCell ref="H1:M1"/>
    <mergeCell ref="N1:R1"/>
    <mergeCell ref="S1:V1"/>
    <mergeCell ref="W1:Z1"/>
    <mergeCell ref="AA1:AE1"/>
    <mergeCell ref="AG1:AO1"/>
  </mergeCells>
  <conditionalFormatting sqref="AH2:AK45">
    <cfRule type="cellIs" priority="2" operator="equal" aboveAverage="0" equalAverage="0" bottom="0" percent="0" rank="0" text="" dxfId="3">
      <formula>"ELIGIBLE"</formula>
    </cfRule>
    <cfRule type="cellIs" priority="3" operator="equal" aboveAverage="0" equalAverage="0" bottom="0" percent="0" rank="0" text="" dxfId="4">
      <formula>"NOT ELIGIBLE"</formula>
    </cfRule>
  </conditionalFormatting>
  <conditionalFormatting sqref="AG2:AG45">
    <cfRule type="cellIs" priority="4" operator="greaterThan" aboveAverage="0" equalAverage="0" bottom="0" percent="0" rank="0" text="" dxfId="5">
      <formula>115</formula>
    </cfRule>
    <cfRule type="cellIs" priority="5" operator="between" aboveAverage="0" equalAverage="0" bottom="0" percent="0" rank="0" text="" dxfId="6">
      <formula>80</formula>
      <formula>115</formula>
    </cfRule>
    <cfRule type="cellIs" priority="6" operator="lessThan" aboveAverage="0" equalAverage="0" bottom="0" percent="0" rank="0" text="" dxfId="7">
      <formula>80</formula>
    </cfRule>
  </conditionalFormatting>
  <conditionalFormatting sqref="AH4:AH47">
    <cfRule type="cellIs" priority="7" operator="equal" aboveAverage="0" equalAverage="0" bottom="0" percent="0" rank="0" text="" dxfId="8">
      <formula>"ELIGIBLE"</formula>
    </cfRule>
    <cfRule type="cellIs" priority="8" operator="equal" aboveAverage="0" equalAverage="0" bottom="0" percent="0" rank="0" text="" dxfId="9">
      <formula>"NOT ELIGIBLE"</formula>
    </cfRule>
  </conditionalFormatting>
  <conditionalFormatting sqref="AI4:AI47">
    <cfRule type="cellIs" priority="9" operator="equal" aboveAverage="0" equalAverage="0" bottom="0" percent="0" rank="0" text="" dxfId="8">
      <formula>"ELIGIBLE"</formula>
    </cfRule>
    <cfRule type="cellIs" priority="10" operator="equal" aboveAverage="0" equalAverage="0" bottom="0" percent="0" rank="0" text="" dxfId="9">
      <formula>"NOT ELIGIBLE"</formula>
    </cfRule>
  </conditionalFormatting>
  <conditionalFormatting sqref="AJ4:AJ47">
    <cfRule type="cellIs" priority="11" operator="equal" aboveAverage="0" equalAverage="0" bottom="0" percent="0" rank="0" text="" dxfId="8">
      <formula>"ELIGIBLE"</formula>
    </cfRule>
    <cfRule type="cellIs" priority="12" operator="equal" aboveAverage="0" equalAverage="0" bottom="0" percent="0" rank="0" text="" dxfId="9">
      <formula>"NOT ELIGIBLE"</formula>
    </cfRule>
  </conditionalFormatting>
  <conditionalFormatting sqref="AK4:AK47">
    <cfRule type="cellIs" priority="13" operator="equal" aboveAverage="0" equalAverage="0" bottom="0" percent="0" rank="0" text="" dxfId="8">
      <formula>"ELIGIBLE"</formula>
    </cfRule>
    <cfRule type="cellIs" priority="14" operator="equal" aboveAverage="0" equalAverage="0" bottom="0" percent="0" rank="0" text="" dxfId="9">
      <formula>"NOT ELIGIBLE"</formula>
    </cfRule>
  </conditionalFormatting>
  <conditionalFormatting sqref="AL4:AL47">
    <cfRule type="cellIs" priority="15" operator="equal" aboveAverage="0" equalAverage="0" bottom="0" percent="0" rank="0" text="" dxfId="8">
      <formula>"ELIGIBLE"</formula>
    </cfRule>
    <cfRule type="cellIs" priority="16" operator="equal" aboveAverage="0" equalAverage="0" bottom="0" percent="0" rank="0" text="" dxfId="9">
      <formula>"NOT ELIGIBLE"</formula>
    </cfRule>
  </conditionalFormatting>
  <conditionalFormatting sqref="AM4:AM47">
    <cfRule type="cellIs" priority="17" operator="equal" aboveAverage="0" equalAverage="0" bottom="0" percent="0" rank="0" text="" dxfId="8">
      <formula>"ELIGIBLE"</formula>
    </cfRule>
    <cfRule type="cellIs" priority="18" operator="equal" aboveAverage="0" equalAverage="0" bottom="0" percent="0" rank="0" text="" dxfId="9">
      <formula>"NOT ELIGIBLE"</formula>
    </cfRule>
  </conditionalFormatting>
  <conditionalFormatting sqref="I4:I47">
    <cfRule type="colorScale" priority="19">
      <colorScale>
        <cfvo type="min" val="0"/>
        <cfvo type="percentile" val="50"/>
        <cfvo type="max" val="0"/>
        <color rgb="FFFFE4E6"/>
        <color rgb="FFFFFFFF"/>
        <color rgb="FFDCFCE7"/>
      </colorScale>
    </cfRule>
  </conditionalFormatting>
  <conditionalFormatting sqref="AG4:AG47">
    <cfRule type="dataBar" priority="20">
      <dataBar showValue="1" minLength="10" maxLength="90">
        <cfvo type="num" val="0"/>
        <cfvo type="num" val="190"/>
        <color rgb="FF6366F1"/>
      </dataBar>
      <extLst>
        <ext xmlns:x14="http://schemas.microsoft.com/office/spreadsheetml/2009/9/main" uri="{B025F937-C7B1-47D3-B67F-A62EFF666E3E}">
          <x14:id>{13CA74BD-8F12-43F4-967D-95AD7FAAF569}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CA74BD-8F12-43F4-967D-95AD7FAAF569}">
            <x14:dataBar minLength="10" maxLength="90" axisPosition="none" gradient="true">
              <x14:cfvo type="num">
                <xm:f>0</xm:f>
              </x14:cfvo>
              <x14:cfvo type="num">
                <xm:f>190</xm:f>
              </x14:cfvo>
              <x14:negativeFillColor rgb="FF6366F1"/>
              <x14:axisColor rgb="FF000000"/>
            </x14:dataBar>
          </x14:cfRule>
          <xm:sqref>AG4:AG47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BS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1" ySplit="2" topLeftCell="V3" activePane="bottomRight" state="frozen"/>
      <selection pane="topLeft" activeCell="A1" activeCellId="0" sqref="A1"/>
      <selection pane="topRight" activeCell="V1" activeCellId="0" sqref="V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4" min="2" style="1" width="8"/>
    <col collapsed="false" customWidth="true" hidden="false" outlineLevel="0" max="5" min="5" style="1" width="18"/>
    <col collapsed="false" customWidth="true" hidden="false" outlineLevel="0" max="6" min="6" style="1" width="15"/>
    <col collapsed="false" customWidth="true" hidden="false" outlineLevel="0" max="8" min="7" style="1" width="8"/>
    <col collapsed="false" customWidth="true" hidden="false" outlineLevel="0" max="9" min="9" style="1" width="12"/>
    <col collapsed="false" customWidth="true" hidden="false" outlineLevel="0" max="21" min="10" style="1" width="8"/>
    <col collapsed="false" customWidth="true" hidden="false" outlineLevel="0" max="52" min="22" style="1" width="4.2"/>
    <col collapsed="false" customWidth="true" hidden="false" outlineLevel="0" max="65" min="53" style="1" width="7"/>
    <col collapsed="false" customWidth="true" hidden="false" outlineLevel="0" max="71" min="66" style="1" width="12"/>
  </cols>
  <sheetData>
    <row r="1" customFormat="false" ht="13.5" hidden="false" customHeight="true" outlineLevel="0" collapsed="false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5" t="s">
        <v>145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9" t="s">
        <v>146</v>
      </c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11" t="s">
        <v>147</v>
      </c>
      <c r="BO1" s="11"/>
      <c r="BP1" s="11"/>
      <c r="BQ1" s="11"/>
      <c r="BR1" s="11"/>
      <c r="BS1" s="11"/>
    </row>
    <row r="2" customFormat="false" ht="37.5" hidden="false" customHeight="true" outlineLevel="0" collapsed="false">
      <c r="A2" s="12" t="s">
        <v>148</v>
      </c>
      <c r="B2" s="13" t="s">
        <v>149</v>
      </c>
      <c r="C2" s="13" t="s">
        <v>150</v>
      </c>
      <c r="D2" s="13" t="s">
        <v>151</v>
      </c>
      <c r="E2" s="13" t="s">
        <v>152</v>
      </c>
      <c r="F2" s="13" t="s">
        <v>153</v>
      </c>
      <c r="G2" s="13" t="s">
        <v>154</v>
      </c>
      <c r="H2" s="13" t="s">
        <v>155</v>
      </c>
      <c r="I2" s="13" t="s">
        <v>156</v>
      </c>
      <c r="J2" s="13" t="s">
        <v>12</v>
      </c>
      <c r="K2" s="13" t="s">
        <v>157</v>
      </c>
      <c r="L2" s="13" t="s">
        <v>158</v>
      </c>
      <c r="M2" s="13" t="s">
        <v>159</v>
      </c>
      <c r="N2" s="13" t="s">
        <v>160</v>
      </c>
      <c r="O2" s="13" t="s">
        <v>161</v>
      </c>
      <c r="P2" s="13" t="s">
        <v>162</v>
      </c>
      <c r="Q2" s="13" t="s">
        <v>163</v>
      </c>
      <c r="R2" s="13" t="s">
        <v>164</v>
      </c>
      <c r="S2" s="13" t="s">
        <v>165</v>
      </c>
      <c r="T2" s="13" t="s">
        <v>166</v>
      </c>
      <c r="U2" s="13" t="s">
        <v>167</v>
      </c>
      <c r="V2" s="93" t="s">
        <v>168</v>
      </c>
      <c r="W2" s="94" t="s">
        <v>169</v>
      </c>
      <c r="X2" s="94" t="s">
        <v>170</v>
      </c>
      <c r="Y2" s="94" t="s">
        <v>171</v>
      </c>
      <c r="Z2" s="94" t="s">
        <v>172</v>
      </c>
      <c r="AA2" s="94" t="s">
        <v>173</v>
      </c>
      <c r="AB2" s="94" t="s">
        <v>174</v>
      </c>
      <c r="AC2" s="94" t="s">
        <v>175</v>
      </c>
      <c r="AD2" s="94" t="s">
        <v>176</v>
      </c>
      <c r="AE2" s="94" t="s">
        <v>177</v>
      </c>
      <c r="AF2" s="94" t="s">
        <v>178</v>
      </c>
      <c r="AG2" s="94" t="s">
        <v>179</v>
      </c>
      <c r="AH2" s="94" t="s">
        <v>180</v>
      </c>
      <c r="AI2" s="94" t="s">
        <v>181</v>
      </c>
      <c r="AJ2" s="94" t="s">
        <v>182</v>
      </c>
      <c r="AK2" s="94" t="s">
        <v>183</v>
      </c>
      <c r="AL2" s="94" t="s">
        <v>184</v>
      </c>
      <c r="AM2" s="94" t="s">
        <v>185</v>
      </c>
      <c r="AN2" s="94" t="s">
        <v>186</v>
      </c>
      <c r="AO2" s="94" t="s">
        <v>187</v>
      </c>
      <c r="AP2" s="94" t="s">
        <v>188</v>
      </c>
      <c r="AQ2" s="94" t="s">
        <v>189</v>
      </c>
      <c r="AR2" s="94" t="s">
        <v>190</v>
      </c>
      <c r="AS2" s="94" t="s">
        <v>191</v>
      </c>
      <c r="AT2" s="94" t="s">
        <v>192</v>
      </c>
      <c r="AU2" s="94" t="s">
        <v>193</v>
      </c>
      <c r="AV2" s="94" t="s">
        <v>194</v>
      </c>
      <c r="AW2" s="94" t="s">
        <v>195</v>
      </c>
      <c r="AX2" s="94" t="s">
        <v>196</v>
      </c>
      <c r="AY2" s="94" t="s">
        <v>197</v>
      </c>
      <c r="AZ2" s="94" t="s">
        <v>198</v>
      </c>
      <c r="BA2" s="25" t="s">
        <v>199</v>
      </c>
      <c r="BB2" s="26" t="s">
        <v>200</v>
      </c>
      <c r="BC2" s="26" t="s">
        <v>201</v>
      </c>
      <c r="BD2" s="26" t="s">
        <v>202</v>
      </c>
      <c r="BE2" s="26" t="s">
        <v>203</v>
      </c>
      <c r="BF2" s="26" t="s">
        <v>204</v>
      </c>
      <c r="BG2" s="26" t="s">
        <v>205</v>
      </c>
      <c r="BH2" s="26" t="s">
        <v>206</v>
      </c>
      <c r="BI2" s="26" t="s">
        <v>207</v>
      </c>
      <c r="BJ2" s="26" t="s">
        <v>208</v>
      </c>
      <c r="BK2" s="26" t="s">
        <v>209</v>
      </c>
      <c r="BL2" s="26" t="s">
        <v>210</v>
      </c>
      <c r="BM2" s="26" t="s">
        <v>211</v>
      </c>
      <c r="BN2" s="28" t="s">
        <v>212</v>
      </c>
      <c r="BO2" s="29" t="s">
        <v>213</v>
      </c>
      <c r="BP2" s="29" t="s">
        <v>214</v>
      </c>
      <c r="BQ2" s="29" t="s">
        <v>13</v>
      </c>
      <c r="BR2" s="29" t="s">
        <v>15</v>
      </c>
      <c r="BS2" s="29" t="s">
        <v>14</v>
      </c>
    </row>
    <row r="3" customFormat="false" ht="18.75" hidden="false" customHeight="true" outlineLevel="0" collapsed="false">
      <c r="A3" s="95" t="n">
        <v>1</v>
      </c>
      <c r="B3" s="96" t="s">
        <v>215</v>
      </c>
      <c r="C3" s="96" t="s">
        <v>216</v>
      </c>
      <c r="D3" s="96" t="s">
        <v>126</v>
      </c>
      <c r="E3" s="97" t="s">
        <v>217</v>
      </c>
      <c r="F3" s="98" t="s">
        <v>126</v>
      </c>
      <c r="G3" s="96" t="s">
        <v>218</v>
      </c>
      <c r="H3" s="96" t="s">
        <v>219</v>
      </c>
      <c r="I3" s="99" t="n">
        <v>45108</v>
      </c>
      <c r="J3" s="100" t="n">
        <v>1</v>
      </c>
      <c r="K3" s="96" t="s">
        <v>220</v>
      </c>
      <c r="L3" s="96" t="s">
        <v>81</v>
      </c>
      <c r="M3" s="96" t="s">
        <v>221</v>
      </c>
      <c r="N3" s="101" t="s">
        <v>222</v>
      </c>
      <c r="O3" s="96" t="s">
        <v>223</v>
      </c>
      <c r="P3" s="96" t="s">
        <v>223</v>
      </c>
      <c r="Q3" s="102" t="n">
        <v>7000183903</v>
      </c>
      <c r="R3" s="96"/>
      <c r="S3" s="96" t="s">
        <v>224</v>
      </c>
      <c r="T3" s="96" t="s">
        <v>225</v>
      </c>
      <c r="U3" s="96" t="s">
        <v>226</v>
      </c>
      <c r="V3" s="103" t="s">
        <v>227</v>
      </c>
      <c r="W3" s="104" t="s">
        <v>228</v>
      </c>
      <c r="X3" s="104" t="s">
        <v>228</v>
      </c>
      <c r="Y3" s="105" t="s">
        <v>205</v>
      </c>
      <c r="Z3" s="104" t="s">
        <v>228</v>
      </c>
      <c r="AA3" s="104" t="s">
        <v>228</v>
      </c>
      <c r="AB3" s="104" t="s">
        <v>228</v>
      </c>
      <c r="AC3" s="103" t="s">
        <v>227</v>
      </c>
      <c r="AD3" s="104" t="s">
        <v>228</v>
      </c>
      <c r="AE3" s="104" t="s">
        <v>228</v>
      </c>
      <c r="AF3" s="104" t="s">
        <v>228</v>
      </c>
      <c r="AG3" s="104" t="s">
        <v>228</v>
      </c>
      <c r="AH3" s="104" t="s">
        <v>228</v>
      </c>
      <c r="AI3" s="104" t="s">
        <v>228</v>
      </c>
      <c r="AJ3" s="103" t="s">
        <v>227</v>
      </c>
      <c r="AK3" s="104" t="s">
        <v>228</v>
      </c>
      <c r="AL3" s="104" t="s">
        <v>228</v>
      </c>
      <c r="AM3" s="104" t="s">
        <v>228</v>
      </c>
      <c r="AN3" s="104" t="s">
        <v>228</v>
      </c>
      <c r="AO3" s="104" t="s">
        <v>228</v>
      </c>
      <c r="AP3" s="103" t="s">
        <v>227</v>
      </c>
      <c r="AQ3" s="104" t="s">
        <v>228</v>
      </c>
      <c r="AR3" s="104" t="s">
        <v>228</v>
      </c>
      <c r="AS3" s="104" t="s">
        <v>228</v>
      </c>
      <c r="AT3" s="104" t="s">
        <v>228</v>
      </c>
      <c r="AU3" s="106" t="s">
        <v>229</v>
      </c>
      <c r="AV3" s="107"/>
      <c r="AW3" s="104" t="s">
        <v>228</v>
      </c>
      <c r="AX3" s="103" t="s">
        <v>227</v>
      </c>
      <c r="AY3" s="104" t="s">
        <v>228</v>
      </c>
      <c r="AZ3" s="104" t="s">
        <v>228</v>
      </c>
      <c r="BA3" s="108" t="n">
        <v>30</v>
      </c>
      <c r="BB3" s="109" t="n">
        <v>23</v>
      </c>
      <c r="BC3" s="109" t="n">
        <v>0</v>
      </c>
      <c r="BD3" s="109" t="n">
        <v>0</v>
      </c>
      <c r="BE3" s="109" t="n">
        <v>0</v>
      </c>
      <c r="BF3" s="109" t="n">
        <v>1</v>
      </c>
      <c r="BG3" s="109" t="n">
        <v>1</v>
      </c>
      <c r="BH3" s="109" t="n">
        <v>0</v>
      </c>
      <c r="BI3" s="109" t="n">
        <v>0</v>
      </c>
      <c r="BJ3" s="109" t="n">
        <v>0</v>
      </c>
      <c r="BK3" s="109" t="n">
        <v>0</v>
      </c>
      <c r="BL3" s="109" t="n">
        <v>5</v>
      </c>
      <c r="BM3" s="109" t="n">
        <v>30</v>
      </c>
      <c r="BN3" s="110"/>
      <c r="BO3" s="111" t="n">
        <v>120</v>
      </c>
      <c r="BP3" s="111" t="n">
        <v>40</v>
      </c>
      <c r="BQ3" s="111" t="n">
        <v>160</v>
      </c>
      <c r="BR3" s="111" t="n">
        <v>28</v>
      </c>
      <c r="BS3" s="111" t="n">
        <v>128</v>
      </c>
    </row>
    <row r="4" customFormat="false" ht="18.75" hidden="false" customHeight="true" outlineLevel="0" collapsed="false">
      <c r="A4" s="112" t="n">
        <v>2</v>
      </c>
      <c r="B4" s="113" t="s">
        <v>230</v>
      </c>
      <c r="C4" s="113" t="s">
        <v>231</v>
      </c>
      <c r="D4" s="113" t="s">
        <v>89</v>
      </c>
      <c r="E4" s="114" t="s">
        <v>232</v>
      </c>
      <c r="F4" s="115" t="s">
        <v>89</v>
      </c>
      <c r="G4" s="113" t="s">
        <v>218</v>
      </c>
      <c r="H4" s="113" t="s">
        <v>219</v>
      </c>
      <c r="I4" s="116" t="n">
        <v>45152</v>
      </c>
      <c r="J4" s="100" t="n">
        <v>1</v>
      </c>
      <c r="K4" s="113" t="s">
        <v>220</v>
      </c>
      <c r="L4" s="113" t="s">
        <v>81</v>
      </c>
      <c r="M4" s="113" t="s">
        <v>221</v>
      </c>
      <c r="N4" s="101" t="s">
        <v>222</v>
      </c>
      <c r="O4" s="113" t="s">
        <v>223</v>
      </c>
      <c r="P4" s="113" t="s">
        <v>223</v>
      </c>
      <c r="Q4" s="117" t="n">
        <v>9301953889</v>
      </c>
      <c r="R4" s="113"/>
      <c r="S4" s="113" t="s">
        <v>233</v>
      </c>
      <c r="T4" s="113" t="s">
        <v>234</v>
      </c>
      <c r="U4" s="113" t="s">
        <v>235</v>
      </c>
      <c r="V4" s="104" t="s">
        <v>228</v>
      </c>
      <c r="W4" s="104" t="s">
        <v>228</v>
      </c>
      <c r="X4" s="106" t="s">
        <v>229</v>
      </c>
      <c r="Y4" s="118" t="s">
        <v>236</v>
      </c>
      <c r="Z4" s="104" t="s">
        <v>228</v>
      </c>
      <c r="AA4" s="104" t="s">
        <v>228</v>
      </c>
      <c r="AB4" s="104" t="s">
        <v>228</v>
      </c>
      <c r="AC4" s="103" t="s">
        <v>227</v>
      </c>
      <c r="AD4" s="104" t="s">
        <v>228</v>
      </c>
      <c r="AE4" s="104" t="s">
        <v>228</v>
      </c>
      <c r="AF4" s="104" t="s">
        <v>228</v>
      </c>
      <c r="AG4" s="104" t="s">
        <v>228</v>
      </c>
      <c r="AH4" s="104" t="s">
        <v>228</v>
      </c>
      <c r="AI4" s="103" t="s">
        <v>227</v>
      </c>
      <c r="AJ4" s="104" t="s">
        <v>228</v>
      </c>
      <c r="AK4" s="104" t="s">
        <v>228</v>
      </c>
      <c r="AL4" s="104" t="s">
        <v>228</v>
      </c>
      <c r="AM4" s="104" t="s">
        <v>228</v>
      </c>
      <c r="AN4" s="104" t="s">
        <v>228</v>
      </c>
      <c r="AO4" s="104" t="s">
        <v>228</v>
      </c>
      <c r="AP4" s="104" t="s">
        <v>228</v>
      </c>
      <c r="AQ4" s="103" t="s">
        <v>227</v>
      </c>
      <c r="AR4" s="104" t="s">
        <v>228</v>
      </c>
      <c r="AS4" s="104" t="s">
        <v>228</v>
      </c>
      <c r="AT4" s="104" t="s">
        <v>228</v>
      </c>
      <c r="AU4" s="106" t="s">
        <v>229</v>
      </c>
      <c r="AV4" s="119"/>
      <c r="AW4" s="103" t="s">
        <v>227</v>
      </c>
      <c r="AX4" s="104" t="s">
        <v>228</v>
      </c>
      <c r="AY4" s="104" t="s">
        <v>228</v>
      </c>
      <c r="AZ4" s="119"/>
      <c r="BA4" s="120" t="n">
        <v>29</v>
      </c>
      <c r="BB4" s="121" t="n">
        <v>22</v>
      </c>
      <c r="BC4" s="121" t="n">
        <v>0</v>
      </c>
      <c r="BD4" s="121" t="n">
        <v>0</v>
      </c>
      <c r="BE4" s="121" t="n">
        <v>0</v>
      </c>
      <c r="BF4" s="121" t="n">
        <v>2</v>
      </c>
      <c r="BG4" s="121" t="n">
        <v>0</v>
      </c>
      <c r="BH4" s="121" t="n">
        <v>1</v>
      </c>
      <c r="BI4" s="121" t="n">
        <v>0</v>
      </c>
      <c r="BJ4" s="121" t="n">
        <v>0</v>
      </c>
      <c r="BK4" s="121" t="n">
        <v>0</v>
      </c>
      <c r="BL4" s="121" t="n">
        <v>4</v>
      </c>
      <c r="BM4" s="121" t="n">
        <v>29</v>
      </c>
      <c r="BN4" s="122"/>
      <c r="BO4" s="123" t="n">
        <v>120</v>
      </c>
      <c r="BP4" s="123" t="n">
        <v>40</v>
      </c>
      <c r="BQ4" s="123" t="n">
        <v>160</v>
      </c>
      <c r="BR4" s="123" t="n">
        <v>28</v>
      </c>
      <c r="BS4" s="123" t="n">
        <v>128</v>
      </c>
    </row>
    <row r="5" customFormat="false" ht="18.75" hidden="false" customHeight="true" outlineLevel="0" collapsed="false">
      <c r="A5" s="95" t="n">
        <v>3</v>
      </c>
      <c r="B5" s="96" t="s">
        <v>237</v>
      </c>
      <c r="C5" s="96" t="s">
        <v>238</v>
      </c>
      <c r="D5" s="96" t="s">
        <v>239</v>
      </c>
      <c r="E5" s="97" t="s">
        <v>239</v>
      </c>
      <c r="F5" s="98" t="s">
        <v>96</v>
      </c>
      <c r="G5" s="96" t="s">
        <v>218</v>
      </c>
      <c r="H5" s="96" t="s">
        <v>219</v>
      </c>
      <c r="I5" s="99" t="n">
        <v>45182</v>
      </c>
      <c r="J5" s="100" t="n">
        <v>1</v>
      </c>
      <c r="K5" s="96" t="s">
        <v>220</v>
      </c>
      <c r="L5" s="96" t="s">
        <v>81</v>
      </c>
      <c r="M5" s="96" t="s">
        <v>221</v>
      </c>
      <c r="N5" s="101" t="s">
        <v>222</v>
      </c>
      <c r="O5" s="96" t="s">
        <v>223</v>
      </c>
      <c r="P5" s="96" t="s">
        <v>223</v>
      </c>
      <c r="Q5" s="102" t="n">
        <v>9589543480</v>
      </c>
      <c r="R5" s="96"/>
      <c r="S5" s="96" t="s">
        <v>240</v>
      </c>
      <c r="T5" s="96" t="s">
        <v>241</v>
      </c>
      <c r="U5" s="96" t="s">
        <v>242</v>
      </c>
      <c r="V5" s="104" t="s">
        <v>228</v>
      </c>
      <c r="W5" s="104" t="s">
        <v>228</v>
      </c>
      <c r="X5" s="104" t="s">
        <v>228</v>
      </c>
      <c r="Y5" s="105" t="s">
        <v>205</v>
      </c>
      <c r="Z5" s="104" t="s">
        <v>228</v>
      </c>
      <c r="AA5" s="104" t="s">
        <v>228</v>
      </c>
      <c r="AB5" s="104" t="s">
        <v>228</v>
      </c>
      <c r="AC5" s="103" t="s">
        <v>227</v>
      </c>
      <c r="AD5" s="104" t="s">
        <v>228</v>
      </c>
      <c r="AE5" s="104" t="s">
        <v>228</v>
      </c>
      <c r="AF5" s="104" t="s">
        <v>228</v>
      </c>
      <c r="AG5" s="104" t="s">
        <v>228</v>
      </c>
      <c r="AH5" s="104" t="s">
        <v>228</v>
      </c>
      <c r="AI5" s="103" t="s">
        <v>227</v>
      </c>
      <c r="AJ5" s="104" t="s">
        <v>228</v>
      </c>
      <c r="AK5" s="104" t="s">
        <v>228</v>
      </c>
      <c r="AL5" s="104" t="s">
        <v>228</v>
      </c>
      <c r="AM5" s="104" t="s">
        <v>228</v>
      </c>
      <c r="AN5" s="104" t="s">
        <v>228</v>
      </c>
      <c r="AO5" s="104" t="s">
        <v>228</v>
      </c>
      <c r="AP5" s="104" t="s">
        <v>228</v>
      </c>
      <c r="AQ5" s="103" t="s">
        <v>227</v>
      </c>
      <c r="AR5" s="104" t="s">
        <v>228</v>
      </c>
      <c r="AS5" s="104" t="s">
        <v>228</v>
      </c>
      <c r="AT5" s="104" t="s">
        <v>228</v>
      </c>
      <c r="AU5" s="106" t="s">
        <v>229</v>
      </c>
      <c r="AV5" s="107"/>
      <c r="AW5" s="103" t="s">
        <v>227</v>
      </c>
      <c r="AX5" s="104" t="s">
        <v>228</v>
      </c>
      <c r="AY5" s="104" t="s">
        <v>228</v>
      </c>
      <c r="AZ5" s="107"/>
      <c r="BA5" s="108" t="n">
        <v>29</v>
      </c>
      <c r="BB5" s="109" t="n">
        <v>23</v>
      </c>
      <c r="BC5" s="109" t="n">
        <v>0</v>
      </c>
      <c r="BD5" s="109" t="n">
        <v>0</v>
      </c>
      <c r="BE5" s="109" t="n">
        <v>0</v>
      </c>
      <c r="BF5" s="109" t="n">
        <v>1</v>
      </c>
      <c r="BG5" s="109" t="n">
        <v>1</v>
      </c>
      <c r="BH5" s="109" t="n">
        <v>0</v>
      </c>
      <c r="BI5" s="109" t="n">
        <v>0</v>
      </c>
      <c r="BJ5" s="109" t="n">
        <v>0</v>
      </c>
      <c r="BK5" s="109" t="n">
        <v>0</v>
      </c>
      <c r="BL5" s="109" t="n">
        <v>4</v>
      </c>
      <c r="BM5" s="109" t="n">
        <v>29</v>
      </c>
      <c r="BN5" s="110"/>
      <c r="BO5" s="111" t="n">
        <v>120</v>
      </c>
      <c r="BP5" s="111" t="n">
        <v>40</v>
      </c>
      <c r="BQ5" s="111" t="n">
        <v>160</v>
      </c>
      <c r="BR5" s="111" t="n">
        <v>28</v>
      </c>
      <c r="BS5" s="111" t="n">
        <v>128</v>
      </c>
    </row>
    <row r="6" customFormat="false" ht="18.75" hidden="false" customHeight="true" outlineLevel="0" collapsed="false">
      <c r="A6" s="112" t="n">
        <v>4</v>
      </c>
      <c r="B6" s="113" t="s">
        <v>243</v>
      </c>
      <c r="C6" s="113" t="s">
        <v>244</v>
      </c>
      <c r="D6" s="113" t="s">
        <v>245</v>
      </c>
      <c r="E6" s="114" t="s">
        <v>246</v>
      </c>
      <c r="F6" s="115" t="s">
        <v>116</v>
      </c>
      <c r="G6" s="113" t="s">
        <v>218</v>
      </c>
      <c r="H6" s="113" t="s">
        <v>219</v>
      </c>
      <c r="I6" s="116" t="n">
        <v>45512</v>
      </c>
      <c r="J6" s="100" t="n">
        <v>1</v>
      </c>
      <c r="K6" s="113" t="s">
        <v>220</v>
      </c>
      <c r="L6" s="113" t="s">
        <v>81</v>
      </c>
      <c r="M6" s="113" t="s">
        <v>221</v>
      </c>
      <c r="N6" s="101" t="s">
        <v>222</v>
      </c>
      <c r="O6" s="113" t="s">
        <v>247</v>
      </c>
      <c r="P6" s="113" t="s">
        <v>223</v>
      </c>
      <c r="Q6" s="117" t="n">
        <v>7415290527</v>
      </c>
      <c r="R6" s="113"/>
      <c r="S6" s="113" t="s">
        <v>223</v>
      </c>
      <c r="T6" s="113" t="s">
        <v>248</v>
      </c>
      <c r="U6" s="113" t="s">
        <v>249</v>
      </c>
      <c r="V6" s="104" t="s">
        <v>228</v>
      </c>
      <c r="W6" s="104" t="s">
        <v>228</v>
      </c>
      <c r="X6" s="106" t="s">
        <v>229</v>
      </c>
      <c r="Y6" s="104" t="s">
        <v>228</v>
      </c>
      <c r="Z6" s="104" t="s">
        <v>228</v>
      </c>
      <c r="AA6" s="104" t="s">
        <v>228</v>
      </c>
      <c r="AB6" s="104" t="s">
        <v>228</v>
      </c>
      <c r="AC6" s="103" t="s">
        <v>227</v>
      </c>
      <c r="AD6" s="104" t="s">
        <v>228</v>
      </c>
      <c r="AE6" s="104" t="s">
        <v>228</v>
      </c>
      <c r="AF6" s="104" t="s">
        <v>228</v>
      </c>
      <c r="AG6" s="104" t="s">
        <v>228</v>
      </c>
      <c r="AH6" s="104" t="s">
        <v>228</v>
      </c>
      <c r="AI6" s="103" t="s">
        <v>227</v>
      </c>
      <c r="AJ6" s="104" t="s">
        <v>228</v>
      </c>
      <c r="AK6" s="104" t="s">
        <v>228</v>
      </c>
      <c r="AL6" s="104" t="s">
        <v>228</v>
      </c>
      <c r="AM6" s="104" t="s">
        <v>228</v>
      </c>
      <c r="AN6" s="104" t="s">
        <v>228</v>
      </c>
      <c r="AO6" s="104" t="s">
        <v>228</v>
      </c>
      <c r="AP6" s="104" t="s">
        <v>228</v>
      </c>
      <c r="AQ6" s="103" t="s">
        <v>227</v>
      </c>
      <c r="AR6" s="104" t="s">
        <v>228</v>
      </c>
      <c r="AS6" s="104" t="s">
        <v>228</v>
      </c>
      <c r="AT6" s="104" t="s">
        <v>228</v>
      </c>
      <c r="AU6" s="104" t="s">
        <v>228</v>
      </c>
      <c r="AV6" s="119"/>
      <c r="AW6" s="103" t="s">
        <v>227</v>
      </c>
      <c r="AX6" s="104" t="s">
        <v>228</v>
      </c>
      <c r="AY6" s="104" t="s">
        <v>228</v>
      </c>
      <c r="AZ6" s="119"/>
      <c r="BA6" s="120" t="n">
        <v>29</v>
      </c>
      <c r="BB6" s="121" t="n">
        <v>24</v>
      </c>
      <c r="BC6" s="121" t="n">
        <v>0</v>
      </c>
      <c r="BD6" s="121" t="n">
        <v>0</v>
      </c>
      <c r="BE6" s="121" t="n">
        <v>0</v>
      </c>
      <c r="BF6" s="121" t="n">
        <v>1</v>
      </c>
      <c r="BG6" s="121" t="n">
        <v>0</v>
      </c>
      <c r="BH6" s="121" t="n">
        <v>0</v>
      </c>
      <c r="BI6" s="121" t="n">
        <v>0</v>
      </c>
      <c r="BJ6" s="121" t="n">
        <v>0</v>
      </c>
      <c r="BK6" s="121" t="n">
        <v>0</v>
      </c>
      <c r="BL6" s="121" t="n">
        <v>4</v>
      </c>
      <c r="BM6" s="121" t="n">
        <v>29</v>
      </c>
      <c r="BN6" s="122"/>
      <c r="BO6" s="123" t="n">
        <v>120</v>
      </c>
      <c r="BP6" s="123" t="n">
        <v>40</v>
      </c>
      <c r="BQ6" s="123" t="n">
        <v>160</v>
      </c>
      <c r="BR6" s="123" t="n">
        <v>28</v>
      </c>
      <c r="BS6" s="123" t="n">
        <v>128</v>
      </c>
    </row>
    <row r="7" customFormat="false" ht="18.75" hidden="false" customHeight="true" outlineLevel="0" collapsed="false">
      <c r="A7" s="95" t="n">
        <v>5</v>
      </c>
      <c r="B7" s="96" t="s">
        <v>250</v>
      </c>
      <c r="C7" s="96" t="s">
        <v>251</v>
      </c>
      <c r="D7" s="96" t="s">
        <v>122</v>
      </c>
      <c r="E7" s="97" t="s">
        <v>252</v>
      </c>
      <c r="F7" s="98" t="s">
        <v>122</v>
      </c>
      <c r="G7" s="96" t="s">
        <v>218</v>
      </c>
      <c r="H7" s="96" t="s">
        <v>219</v>
      </c>
      <c r="I7" s="99" t="n">
        <v>45800</v>
      </c>
      <c r="J7" s="100" t="n">
        <v>1</v>
      </c>
      <c r="K7" s="96" t="s">
        <v>253</v>
      </c>
      <c r="L7" s="96" t="s">
        <v>81</v>
      </c>
      <c r="M7" s="96" t="s">
        <v>254</v>
      </c>
      <c r="N7" s="101" t="s">
        <v>222</v>
      </c>
      <c r="O7" s="96" t="s">
        <v>247</v>
      </c>
      <c r="P7" s="96" t="s">
        <v>223</v>
      </c>
      <c r="Q7" s="102" t="n">
        <v>9401001984</v>
      </c>
      <c r="R7" s="96"/>
      <c r="S7" s="96" t="s">
        <v>255</v>
      </c>
      <c r="T7" s="96" t="s">
        <v>241</v>
      </c>
      <c r="U7" s="96"/>
      <c r="V7" s="103" t="s">
        <v>227</v>
      </c>
      <c r="W7" s="104" t="s">
        <v>228</v>
      </c>
      <c r="X7" s="104" t="s">
        <v>228</v>
      </c>
      <c r="Y7" s="104" t="s">
        <v>228</v>
      </c>
      <c r="Z7" s="104" t="s">
        <v>228</v>
      </c>
      <c r="AA7" s="104" t="s">
        <v>228</v>
      </c>
      <c r="AB7" s="103" t="s">
        <v>227</v>
      </c>
      <c r="AC7" s="104" t="s">
        <v>228</v>
      </c>
      <c r="AD7" s="104" t="s">
        <v>228</v>
      </c>
      <c r="AE7" s="104" t="s">
        <v>228</v>
      </c>
      <c r="AF7" s="104" t="s">
        <v>228</v>
      </c>
      <c r="AG7" s="104" t="s">
        <v>228</v>
      </c>
      <c r="AH7" s="104" t="s">
        <v>228</v>
      </c>
      <c r="AI7" s="104" t="s">
        <v>228</v>
      </c>
      <c r="AJ7" s="103" t="s">
        <v>227</v>
      </c>
      <c r="AK7" s="104" t="s">
        <v>228</v>
      </c>
      <c r="AL7" s="104" t="s">
        <v>228</v>
      </c>
      <c r="AM7" s="104" t="s">
        <v>228</v>
      </c>
      <c r="AN7" s="104" t="s">
        <v>228</v>
      </c>
      <c r="AO7" s="118" t="s">
        <v>236</v>
      </c>
      <c r="AP7" s="103" t="s">
        <v>227</v>
      </c>
      <c r="AQ7" s="104" t="s">
        <v>228</v>
      </c>
      <c r="AR7" s="104" t="s">
        <v>228</v>
      </c>
      <c r="AS7" s="104" t="s">
        <v>228</v>
      </c>
      <c r="AT7" s="104" t="s">
        <v>228</v>
      </c>
      <c r="AU7" s="106" t="s">
        <v>229</v>
      </c>
      <c r="AV7" s="107"/>
      <c r="AW7" s="104" t="s">
        <v>228</v>
      </c>
      <c r="AX7" s="103" t="s">
        <v>227</v>
      </c>
      <c r="AY7" s="124" t="s">
        <v>256</v>
      </c>
      <c r="AZ7" s="104" t="s">
        <v>228</v>
      </c>
      <c r="BA7" s="108" t="n">
        <v>30</v>
      </c>
      <c r="BB7" s="109" t="n">
        <v>22</v>
      </c>
      <c r="BC7" s="109" t="n">
        <v>0</v>
      </c>
      <c r="BD7" s="109" t="n">
        <v>0</v>
      </c>
      <c r="BE7" s="109" t="n">
        <v>0</v>
      </c>
      <c r="BF7" s="109" t="n">
        <v>1</v>
      </c>
      <c r="BG7" s="109" t="n">
        <v>0</v>
      </c>
      <c r="BH7" s="109" t="n">
        <v>1</v>
      </c>
      <c r="BI7" s="109" t="n">
        <v>0</v>
      </c>
      <c r="BJ7" s="109" t="n">
        <v>0</v>
      </c>
      <c r="BK7" s="109" t="n">
        <v>0</v>
      </c>
      <c r="BL7" s="109" t="n">
        <v>5</v>
      </c>
      <c r="BM7" s="109" t="n">
        <v>29</v>
      </c>
      <c r="BN7" s="110"/>
      <c r="BO7" s="111" t="n">
        <v>120</v>
      </c>
      <c r="BP7" s="111" t="n">
        <v>40</v>
      </c>
      <c r="BQ7" s="111" t="n">
        <v>160</v>
      </c>
      <c r="BR7" s="111" t="n">
        <v>28</v>
      </c>
      <c r="BS7" s="111" t="n">
        <v>128</v>
      </c>
    </row>
    <row r="8" customFormat="false" ht="18.75" hidden="false" customHeight="true" outlineLevel="0" collapsed="false">
      <c r="A8" s="112" t="n">
        <v>6</v>
      </c>
      <c r="B8" s="113" t="s">
        <v>257</v>
      </c>
      <c r="C8" s="113" t="s">
        <v>258</v>
      </c>
      <c r="D8" s="113" t="s">
        <v>142</v>
      </c>
      <c r="E8" s="114" t="s">
        <v>87</v>
      </c>
      <c r="F8" s="115" t="s">
        <v>142</v>
      </c>
      <c r="G8" s="113" t="s">
        <v>218</v>
      </c>
      <c r="H8" s="113" t="s">
        <v>219</v>
      </c>
      <c r="I8" s="116" t="n">
        <v>45777</v>
      </c>
      <c r="J8" s="100" t="n">
        <v>1</v>
      </c>
      <c r="K8" s="113" t="s">
        <v>220</v>
      </c>
      <c r="L8" s="113" t="s">
        <v>81</v>
      </c>
      <c r="M8" s="113" t="s">
        <v>254</v>
      </c>
      <c r="N8" s="101" t="s">
        <v>222</v>
      </c>
      <c r="O8" s="113" t="s">
        <v>247</v>
      </c>
      <c r="P8" s="113" t="s">
        <v>223</v>
      </c>
      <c r="Q8" s="113"/>
      <c r="R8" s="113"/>
      <c r="S8" s="113" t="s">
        <v>259</v>
      </c>
      <c r="T8" s="113" t="s">
        <v>225</v>
      </c>
      <c r="U8" s="113" t="s">
        <v>260</v>
      </c>
      <c r="V8" s="103" t="s">
        <v>227</v>
      </c>
      <c r="W8" s="104" t="s">
        <v>228</v>
      </c>
      <c r="X8" s="104" t="s">
        <v>228</v>
      </c>
      <c r="Y8" s="105" t="s">
        <v>205</v>
      </c>
      <c r="Z8" s="104" t="s">
        <v>228</v>
      </c>
      <c r="AA8" s="104" t="s">
        <v>228</v>
      </c>
      <c r="AB8" s="104" t="s">
        <v>228</v>
      </c>
      <c r="AC8" s="103" t="s">
        <v>227</v>
      </c>
      <c r="AD8" s="104" t="s">
        <v>228</v>
      </c>
      <c r="AE8" s="104" t="s">
        <v>228</v>
      </c>
      <c r="AF8" s="104" t="s">
        <v>228</v>
      </c>
      <c r="AG8" s="104" t="s">
        <v>228</v>
      </c>
      <c r="AH8" s="104" t="s">
        <v>228</v>
      </c>
      <c r="AI8" s="104" t="s">
        <v>228</v>
      </c>
      <c r="AJ8" s="103" t="s">
        <v>227</v>
      </c>
      <c r="AK8" s="104" t="s">
        <v>228</v>
      </c>
      <c r="AL8" s="104" t="s">
        <v>228</v>
      </c>
      <c r="AM8" s="104" t="s">
        <v>228</v>
      </c>
      <c r="AN8" s="104" t="s">
        <v>228</v>
      </c>
      <c r="AO8" s="104" t="s">
        <v>228</v>
      </c>
      <c r="AP8" s="103" t="s">
        <v>227</v>
      </c>
      <c r="AQ8" s="104" t="s">
        <v>228</v>
      </c>
      <c r="AR8" s="104" t="s">
        <v>228</v>
      </c>
      <c r="AS8" s="104" t="s">
        <v>228</v>
      </c>
      <c r="AT8" s="104" t="s">
        <v>228</v>
      </c>
      <c r="AU8" s="106" t="s">
        <v>229</v>
      </c>
      <c r="AV8" s="119"/>
      <c r="AW8" s="104" t="s">
        <v>228</v>
      </c>
      <c r="AX8" s="103" t="s">
        <v>227</v>
      </c>
      <c r="AY8" s="104" t="s">
        <v>228</v>
      </c>
      <c r="AZ8" s="104" t="s">
        <v>228</v>
      </c>
      <c r="BA8" s="120" t="n">
        <v>30</v>
      </c>
      <c r="BB8" s="121" t="n">
        <v>23</v>
      </c>
      <c r="BC8" s="121" t="n">
        <v>0</v>
      </c>
      <c r="BD8" s="121" t="n">
        <v>0</v>
      </c>
      <c r="BE8" s="121" t="n">
        <v>0</v>
      </c>
      <c r="BF8" s="121" t="n">
        <v>1</v>
      </c>
      <c r="BG8" s="121" t="n">
        <v>1</v>
      </c>
      <c r="BH8" s="121" t="n">
        <v>0</v>
      </c>
      <c r="BI8" s="121" t="n">
        <v>0</v>
      </c>
      <c r="BJ8" s="121" t="n">
        <v>0</v>
      </c>
      <c r="BK8" s="121" t="n">
        <v>0</v>
      </c>
      <c r="BL8" s="121" t="n">
        <v>5</v>
      </c>
      <c r="BM8" s="121" t="n">
        <v>30</v>
      </c>
      <c r="BN8" s="122"/>
      <c r="BO8" s="123" t="n">
        <v>80</v>
      </c>
      <c r="BP8" s="123" t="n">
        <v>20</v>
      </c>
      <c r="BQ8" s="123" t="n">
        <v>100</v>
      </c>
      <c r="BR8" s="123" t="n">
        <v>14</v>
      </c>
      <c r="BS8" s="123" t="n">
        <v>80</v>
      </c>
    </row>
    <row r="9" customFormat="false" ht="18.75" hidden="false" customHeight="true" outlineLevel="0" collapsed="false">
      <c r="A9" s="95" t="n">
        <v>7</v>
      </c>
      <c r="B9" s="96" t="s">
        <v>261</v>
      </c>
      <c r="C9" s="96" t="s">
        <v>262</v>
      </c>
      <c r="D9" s="96" t="s">
        <v>263</v>
      </c>
      <c r="E9" s="97" t="s">
        <v>264</v>
      </c>
      <c r="F9" s="98" t="s">
        <v>94</v>
      </c>
      <c r="G9" s="96" t="s">
        <v>218</v>
      </c>
      <c r="H9" s="96" t="s">
        <v>219</v>
      </c>
      <c r="I9" s="99" t="n">
        <v>45867</v>
      </c>
      <c r="J9" s="100" t="s">
        <v>265</v>
      </c>
      <c r="K9" s="96" t="s">
        <v>220</v>
      </c>
      <c r="L9" s="96" t="s">
        <v>81</v>
      </c>
      <c r="M9" s="96" t="s">
        <v>254</v>
      </c>
      <c r="N9" s="101" t="s">
        <v>222</v>
      </c>
      <c r="O9" s="96" t="s">
        <v>247</v>
      </c>
      <c r="P9" s="96" t="s">
        <v>223</v>
      </c>
      <c r="Q9" s="96"/>
      <c r="R9" s="96"/>
      <c r="S9" s="96"/>
      <c r="T9" s="96" t="s">
        <v>234</v>
      </c>
      <c r="U9" s="96" t="s">
        <v>266</v>
      </c>
      <c r="V9" s="103" t="s">
        <v>227</v>
      </c>
      <c r="W9" s="104" t="s">
        <v>228</v>
      </c>
      <c r="X9" s="104" t="s">
        <v>228</v>
      </c>
      <c r="Y9" s="105" t="s">
        <v>205</v>
      </c>
      <c r="Z9" s="104" t="s">
        <v>228</v>
      </c>
      <c r="AA9" s="104" t="s">
        <v>228</v>
      </c>
      <c r="AB9" s="104" t="s">
        <v>228</v>
      </c>
      <c r="AC9" s="103" t="s">
        <v>227</v>
      </c>
      <c r="AD9" s="125" t="s">
        <v>201</v>
      </c>
      <c r="AE9" s="124" t="s">
        <v>202</v>
      </c>
      <c r="AF9" s="104" t="s">
        <v>228</v>
      </c>
      <c r="AG9" s="104" t="s">
        <v>228</v>
      </c>
      <c r="AH9" s="104" t="s">
        <v>228</v>
      </c>
      <c r="AI9" s="104" t="s">
        <v>228</v>
      </c>
      <c r="AJ9" s="103" t="s">
        <v>227</v>
      </c>
      <c r="AK9" s="104" t="s">
        <v>228</v>
      </c>
      <c r="AL9" s="104" t="s">
        <v>228</v>
      </c>
      <c r="AM9" s="104" t="s">
        <v>228</v>
      </c>
      <c r="AN9" s="104" t="s">
        <v>228</v>
      </c>
      <c r="AO9" s="104" t="s">
        <v>228</v>
      </c>
      <c r="AP9" s="103" t="s">
        <v>227</v>
      </c>
      <c r="AQ9" s="104" t="s">
        <v>228</v>
      </c>
      <c r="AR9" s="124" t="s">
        <v>202</v>
      </c>
      <c r="AS9" s="104" t="s">
        <v>228</v>
      </c>
      <c r="AT9" s="104" t="s">
        <v>228</v>
      </c>
      <c r="AU9" s="106" t="s">
        <v>229</v>
      </c>
      <c r="AV9" s="104" t="s">
        <v>228</v>
      </c>
      <c r="AW9" s="104" t="s">
        <v>228</v>
      </c>
      <c r="AX9" s="103" t="s">
        <v>227</v>
      </c>
      <c r="AY9" s="104" t="s">
        <v>228</v>
      </c>
      <c r="AZ9" s="104" t="s">
        <v>228</v>
      </c>
      <c r="BA9" s="108" t="n">
        <v>31</v>
      </c>
      <c r="BB9" s="109" t="n">
        <v>21</v>
      </c>
      <c r="BC9" s="109" t="n">
        <v>1</v>
      </c>
      <c r="BD9" s="109" t="n">
        <v>2</v>
      </c>
      <c r="BE9" s="109" t="n">
        <v>0</v>
      </c>
      <c r="BF9" s="109" t="n">
        <v>1</v>
      </c>
      <c r="BG9" s="109" t="n">
        <v>1</v>
      </c>
      <c r="BH9" s="109" t="n">
        <v>0</v>
      </c>
      <c r="BI9" s="109" t="n">
        <v>0</v>
      </c>
      <c r="BJ9" s="109" t="n">
        <v>0</v>
      </c>
      <c r="BK9" s="109" t="n">
        <v>0</v>
      </c>
      <c r="BL9" s="109" t="n">
        <v>5</v>
      </c>
      <c r="BM9" s="109" t="n">
        <v>28.5</v>
      </c>
      <c r="BN9" s="110"/>
      <c r="BO9" s="111" t="n">
        <v>20</v>
      </c>
      <c r="BP9" s="111" t="n">
        <v>5</v>
      </c>
      <c r="BQ9" s="111" t="n">
        <v>25</v>
      </c>
      <c r="BR9" s="111" t="n">
        <v>3.5</v>
      </c>
      <c r="BS9" s="111" t="n">
        <v>20</v>
      </c>
    </row>
    <row r="10" customFormat="false" ht="18.75" hidden="false" customHeight="true" outlineLevel="0" collapsed="false">
      <c r="A10" s="112" t="n">
        <v>8</v>
      </c>
      <c r="B10" s="113" t="s">
        <v>267</v>
      </c>
      <c r="C10" s="113" t="s">
        <v>268</v>
      </c>
      <c r="D10" s="113" t="s">
        <v>130</v>
      </c>
      <c r="E10" s="114" t="s">
        <v>269</v>
      </c>
      <c r="F10" s="115" t="s">
        <v>130</v>
      </c>
      <c r="G10" s="113" t="s">
        <v>218</v>
      </c>
      <c r="H10" s="113" t="s">
        <v>219</v>
      </c>
      <c r="I10" s="116" t="n">
        <v>45867</v>
      </c>
      <c r="J10" s="100" t="s">
        <v>265</v>
      </c>
      <c r="K10" s="113" t="s">
        <v>220</v>
      </c>
      <c r="L10" s="113" t="s">
        <v>81</v>
      </c>
      <c r="M10" s="113" t="s">
        <v>254</v>
      </c>
      <c r="N10" s="101" t="s">
        <v>222</v>
      </c>
      <c r="O10" s="113" t="s">
        <v>270</v>
      </c>
      <c r="P10" s="113" t="s">
        <v>223</v>
      </c>
      <c r="Q10" s="117" t="n">
        <v>9401008194</v>
      </c>
      <c r="R10" s="113"/>
      <c r="S10" s="113"/>
      <c r="T10" s="113" t="s">
        <v>241</v>
      </c>
      <c r="U10" s="113" t="s">
        <v>271</v>
      </c>
      <c r="V10" s="103" t="s">
        <v>227</v>
      </c>
      <c r="W10" s="126" t="s">
        <v>208</v>
      </c>
      <c r="X10" s="104" t="s">
        <v>228</v>
      </c>
      <c r="Y10" s="105" t="s">
        <v>205</v>
      </c>
      <c r="Z10" s="126" t="s">
        <v>272</v>
      </c>
      <c r="AA10" s="104" t="s">
        <v>228</v>
      </c>
      <c r="AB10" s="104" t="s">
        <v>228</v>
      </c>
      <c r="AC10" s="103" t="s">
        <v>227</v>
      </c>
      <c r="AD10" s="104" t="s">
        <v>228</v>
      </c>
      <c r="AE10" s="104" t="s">
        <v>228</v>
      </c>
      <c r="AF10" s="104" t="s">
        <v>228</v>
      </c>
      <c r="AG10" s="104" t="s">
        <v>228</v>
      </c>
      <c r="AH10" s="104" t="s">
        <v>228</v>
      </c>
      <c r="AI10" s="104" t="s">
        <v>228</v>
      </c>
      <c r="AJ10" s="103" t="s">
        <v>227</v>
      </c>
      <c r="AK10" s="104" t="s">
        <v>228</v>
      </c>
      <c r="AL10" s="104" t="s">
        <v>228</v>
      </c>
      <c r="AM10" s="124" t="s">
        <v>202</v>
      </c>
      <c r="AN10" s="104" t="s">
        <v>228</v>
      </c>
      <c r="AO10" s="104" t="s">
        <v>228</v>
      </c>
      <c r="AP10" s="104" t="s">
        <v>228</v>
      </c>
      <c r="AQ10" s="103" t="s">
        <v>227</v>
      </c>
      <c r="AR10" s="104" t="s">
        <v>228</v>
      </c>
      <c r="AS10" s="104" t="s">
        <v>228</v>
      </c>
      <c r="AT10" s="104" t="s">
        <v>228</v>
      </c>
      <c r="AU10" s="106" t="s">
        <v>229</v>
      </c>
      <c r="AV10" s="104" t="s">
        <v>228</v>
      </c>
      <c r="AW10" s="104" t="s">
        <v>228</v>
      </c>
      <c r="AX10" s="103" t="s">
        <v>227</v>
      </c>
      <c r="AY10" s="104" t="s">
        <v>228</v>
      </c>
      <c r="AZ10" s="104" t="s">
        <v>228</v>
      </c>
      <c r="BA10" s="120" t="n">
        <v>31</v>
      </c>
      <c r="BB10" s="121" t="n">
        <v>21</v>
      </c>
      <c r="BC10" s="121" t="n">
        <v>0</v>
      </c>
      <c r="BD10" s="121" t="n">
        <v>1</v>
      </c>
      <c r="BE10" s="121" t="n">
        <v>0</v>
      </c>
      <c r="BF10" s="121" t="n">
        <v>1</v>
      </c>
      <c r="BG10" s="121" t="n">
        <v>1</v>
      </c>
      <c r="BH10" s="121" t="n">
        <v>0</v>
      </c>
      <c r="BI10" s="121" t="n">
        <v>1</v>
      </c>
      <c r="BJ10" s="121" t="n">
        <v>1</v>
      </c>
      <c r="BK10" s="121" t="n">
        <v>0</v>
      </c>
      <c r="BL10" s="121" t="n">
        <v>5</v>
      </c>
      <c r="BM10" s="121" t="n">
        <v>28</v>
      </c>
      <c r="BN10" s="122"/>
      <c r="BO10" s="123" t="n">
        <v>20</v>
      </c>
      <c r="BP10" s="123" t="n">
        <v>5</v>
      </c>
      <c r="BQ10" s="123" t="n">
        <v>25</v>
      </c>
      <c r="BR10" s="123" t="n">
        <v>3.5</v>
      </c>
      <c r="BS10" s="123" t="n">
        <v>20</v>
      </c>
    </row>
    <row r="11" customFormat="false" ht="18.75" hidden="false" customHeight="true" outlineLevel="0" collapsed="false">
      <c r="A11" s="95" t="n">
        <v>9</v>
      </c>
      <c r="B11" s="96" t="s">
        <v>273</v>
      </c>
      <c r="C11" s="96" t="s">
        <v>274</v>
      </c>
      <c r="D11" s="96" t="s">
        <v>80</v>
      </c>
      <c r="E11" s="97" t="s">
        <v>275</v>
      </c>
      <c r="F11" s="98" t="s">
        <v>80</v>
      </c>
      <c r="G11" s="96" t="s">
        <v>218</v>
      </c>
      <c r="H11" s="96" t="s">
        <v>219</v>
      </c>
      <c r="I11" s="99" t="n">
        <v>45867</v>
      </c>
      <c r="J11" s="100" t="s">
        <v>265</v>
      </c>
      <c r="K11" s="96" t="s">
        <v>220</v>
      </c>
      <c r="L11" s="96" t="s">
        <v>81</v>
      </c>
      <c r="M11" s="96" t="s">
        <v>254</v>
      </c>
      <c r="N11" s="101" t="s">
        <v>222</v>
      </c>
      <c r="O11" s="96" t="s">
        <v>223</v>
      </c>
      <c r="P11" s="96" t="s">
        <v>223</v>
      </c>
      <c r="Q11" s="102" t="n">
        <v>6026980421</v>
      </c>
      <c r="R11" s="96"/>
      <c r="S11" s="96"/>
      <c r="T11" s="96" t="s">
        <v>276</v>
      </c>
      <c r="U11" s="96" t="s">
        <v>277</v>
      </c>
      <c r="V11" s="103" t="s">
        <v>227</v>
      </c>
      <c r="W11" s="104" t="s">
        <v>228</v>
      </c>
      <c r="X11" s="106" t="s">
        <v>229</v>
      </c>
      <c r="Y11" s="124" t="s">
        <v>202</v>
      </c>
      <c r="Z11" s="124" t="s">
        <v>202</v>
      </c>
      <c r="AA11" s="124" t="s">
        <v>202</v>
      </c>
      <c r="AB11" s="124" t="s">
        <v>202</v>
      </c>
      <c r="AC11" s="103" t="s">
        <v>227</v>
      </c>
      <c r="AD11" s="125" t="s">
        <v>201</v>
      </c>
      <c r="AE11" s="104" t="s">
        <v>228</v>
      </c>
      <c r="AF11" s="125" t="s">
        <v>201</v>
      </c>
      <c r="AG11" s="125" t="s">
        <v>201</v>
      </c>
      <c r="AH11" s="104" t="s">
        <v>228</v>
      </c>
      <c r="AI11" s="104" t="s">
        <v>228</v>
      </c>
      <c r="AJ11" s="103" t="s">
        <v>227</v>
      </c>
      <c r="AK11" s="104" t="s">
        <v>228</v>
      </c>
      <c r="AL11" s="104" t="s">
        <v>228</v>
      </c>
      <c r="AM11" s="104" t="s">
        <v>228</v>
      </c>
      <c r="AN11" s="104" t="s">
        <v>228</v>
      </c>
      <c r="AO11" s="104" t="s">
        <v>228</v>
      </c>
      <c r="AP11" s="104" t="s">
        <v>228</v>
      </c>
      <c r="AQ11" s="103" t="s">
        <v>227</v>
      </c>
      <c r="AR11" s="104" t="s">
        <v>228</v>
      </c>
      <c r="AS11" s="124" t="s">
        <v>256</v>
      </c>
      <c r="AT11" s="124" t="s">
        <v>202</v>
      </c>
      <c r="AU11" s="106" t="s">
        <v>229</v>
      </c>
      <c r="AV11" s="104" t="s">
        <v>228</v>
      </c>
      <c r="AW11" s="104" t="s">
        <v>228</v>
      </c>
      <c r="AX11" s="103" t="s">
        <v>227</v>
      </c>
      <c r="AY11" s="104" t="s">
        <v>228</v>
      </c>
      <c r="AZ11" s="104" t="s">
        <v>228</v>
      </c>
      <c r="BA11" s="108" t="n">
        <v>31</v>
      </c>
      <c r="BB11" s="109" t="n">
        <v>15</v>
      </c>
      <c r="BC11" s="109" t="n">
        <v>3</v>
      </c>
      <c r="BD11" s="109" t="n">
        <v>5</v>
      </c>
      <c r="BE11" s="109" t="n">
        <v>0</v>
      </c>
      <c r="BF11" s="109" t="n">
        <v>2</v>
      </c>
      <c r="BG11" s="109" t="n">
        <v>0</v>
      </c>
      <c r="BH11" s="109" t="n">
        <v>0</v>
      </c>
      <c r="BI11" s="109" t="n">
        <v>0</v>
      </c>
      <c r="BJ11" s="109" t="n">
        <v>0</v>
      </c>
      <c r="BK11" s="109" t="n">
        <v>0</v>
      </c>
      <c r="BL11" s="109" t="n">
        <v>5</v>
      </c>
      <c r="BM11" s="109" t="n">
        <v>23.5</v>
      </c>
      <c r="BN11" s="110"/>
      <c r="BO11" s="111" t="n">
        <v>20</v>
      </c>
      <c r="BP11" s="111" t="n">
        <v>5</v>
      </c>
      <c r="BQ11" s="111" t="n">
        <v>25</v>
      </c>
      <c r="BR11" s="111" t="n">
        <v>3.5</v>
      </c>
      <c r="BS11" s="111" t="n">
        <v>20</v>
      </c>
    </row>
    <row r="12" customFormat="false" ht="18.75" hidden="false" customHeight="true" outlineLevel="0" collapsed="false">
      <c r="A12" s="112" t="n">
        <v>10</v>
      </c>
      <c r="B12" s="113" t="s">
        <v>278</v>
      </c>
      <c r="C12" s="113" t="s">
        <v>279</v>
      </c>
      <c r="D12" s="113" t="s">
        <v>280</v>
      </c>
      <c r="E12" s="114" t="s">
        <v>281</v>
      </c>
      <c r="F12" s="115" t="s">
        <v>138</v>
      </c>
      <c r="G12" s="113" t="s">
        <v>218</v>
      </c>
      <c r="H12" s="113" t="s">
        <v>282</v>
      </c>
      <c r="I12" s="116" t="n">
        <v>45880</v>
      </c>
      <c r="J12" s="100" t="s">
        <v>265</v>
      </c>
      <c r="K12" s="113" t="s">
        <v>220</v>
      </c>
      <c r="L12" s="113" t="s">
        <v>81</v>
      </c>
      <c r="M12" s="113" t="s">
        <v>254</v>
      </c>
      <c r="N12" s="101" t="s">
        <v>222</v>
      </c>
      <c r="O12" s="113" t="s">
        <v>270</v>
      </c>
      <c r="P12" s="113" t="s">
        <v>223</v>
      </c>
      <c r="Q12" s="113"/>
      <c r="R12" s="113"/>
      <c r="S12" s="113"/>
      <c r="T12" s="113" t="s">
        <v>241</v>
      </c>
      <c r="U12" s="113" t="s">
        <v>283</v>
      </c>
      <c r="V12" s="103" t="s">
        <v>227</v>
      </c>
      <c r="W12" s="104" t="s">
        <v>228</v>
      </c>
      <c r="X12" s="106" t="s">
        <v>229</v>
      </c>
      <c r="Y12" s="126" t="s">
        <v>272</v>
      </c>
      <c r="Z12" s="104" t="s">
        <v>228</v>
      </c>
      <c r="AA12" s="104" t="s">
        <v>228</v>
      </c>
      <c r="AB12" s="104" t="s">
        <v>228</v>
      </c>
      <c r="AC12" s="103" t="s">
        <v>227</v>
      </c>
      <c r="AD12" s="104" t="s">
        <v>228</v>
      </c>
      <c r="AE12" s="104" t="s">
        <v>228</v>
      </c>
      <c r="AF12" s="104" t="s">
        <v>228</v>
      </c>
      <c r="AG12" s="104" t="s">
        <v>228</v>
      </c>
      <c r="AH12" s="104" t="s">
        <v>228</v>
      </c>
      <c r="AI12" s="104" t="s">
        <v>228</v>
      </c>
      <c r="AJ12" s="103" t="s">
        <v>227</v>
      </c>
      <c r="AK12" s="104" t="s">
        <v>228</v>
      </c>
      <c r="AL12" s="124" t="s">
        <v>202</v>
      </c>
      <c r="AM12" s="104" t="s">
        <v>228</v>
      </c>
      <c r="AN12" s="104" t="s">
        <v>228</v>
      </c>
      <c r="AO12" s="104" t="s">
        <v>228</v>
      </c>
      <c r="AP12" s="124" t="s">
        <v>202</v>
      </c>
      <c r="AQ12" s="103" t="s">
        <v>227</v>
      </c>
      <c r="AR12" s="104" t="s">
        <v>228</v>
      </c>
      <c r="AS12" s="104" t="s">
        <v>228</v>
      </c>
      <c r="AT12" s="104" t="s">
        <v>228</v>
      </c>
      <c r="AU12" s="106" t="s">
        <v>229</v>
      </c>
      <c r="AV12" s="104" t="s">
        <v>228</v>
      </c>
      <c r="AW12" s="104" t="s">
        <v>228</v>
      </c>
      <c r="AX12" s="103" t="s">
        <v>227</v>
      </c>
      <c r="AY12" s="104" t="s">
        <v>228</v>
      </c>
      <c r="AZ12" s="104" t="s">
        <v>228</v>
      </c>
      <c r="BA12" s="120" t="n">
        <v>31</v>
      </c>
      <c r="BB12" s="121" t="n">
        <v>21</v>
      </c>
      <c r="BC12" s="121" t="n">
        <v>0</v>
      </c>
      <c r="BD12" s="121" t="n">
        <v>2</v>
      </c>
      <c r="BE12" s="121" t="n">
        <v>0</v>
      </c>
      <c r="BF12" s="121" t="n">
        <v>2</v>
      </c>
      <c r="BG12" s="121" t="n">
        <v>0</v>
      </c>
      <c r="BH12" s="121" t="n">
        <v>0</v>
      </c>
      <c r="BI12" s="121" t="n">
        <v>1</v>
      </c>
      <c r="BJ12" s="121" t="n">
        <v>0</v>
      </c>
      <c r="BK12" s="121" t="n">
        <v>0</v>
      </c>
      <c r="BL12" s="121" t="n">
        <v>5</v>
      </c>
      <c r="BM12" s="121" t="n">
        <v>28</v>
      </c>
      <c r="BN12" s="122"/>
      <c r="BO12" s="123" t="n">
        <v>20</v>
      </c>
      <c r="BP12" s="123" t="n">
        <v>5</v>
      </c>
      <c r="BQ12" s="123" t="n">
        <v>25</v>
      </c>
      <c r="BR12" s="123" t="n">
        <v>3.5</v>
      </c>
      <c r="BS12" s="123" t="n">
        <v>20</v>
      </c>
    </row>
    <row r="13" customFormat="false" ht="18.75" hidden="false" customHeight="true" outlineLevel="0" collapsed="false">
      <c r="A13" s="95" t="n">
        <v>11</v>
      </c>
      <c r="B13" s="96" t="s">
        <v>284</v>
      </c>
      <c r="C13" s="96" t="s">
        <v>285</v>
      </c>
      <c r="D13" s="96" t="s">
        <v>134</v>
      </c>
      <c r="E13" s="97" t="s">
        <v>286</v>
      </c>
      <c r="F13" s="98" t="s">
        <v>134</v>
      </c>
      <c r="G13" s="96" t="s">
        <v>218</v>
      </c>
      <c r="H13" s="96" t="s">
        <v>219</v>
      </c>
      <c r="I13" s="99" t="n">
        <v>45909</v>
      </c>
      <c r="J13" s="100" t="s">
        <v>265</v>
      </c>
      <c r="K13" s="96" t="s">
        <v>220</v>
      </c>
      <c r="L13" s="96" t="s">
        <v>81</v>
      </c>
      <c r="M13" s="96" t="s">
        <v>254</v>
      </c>
      <c r="N13" s="101" t="s">
        <v>222</v>
      </c>
      <c r="O13" s="96" t="s">
        <v>270</v>
      </c>
      <c r="P13" s="96" t="s">
        <v>287</v>
      </c>
      <c r="Q13" s="96"/>
      <c r="R13" s="96"/>
      <c r="S13" s="96"/>
      <c r="T13" s="96" t="s">
        <v>288</v>
      </c>
      <c r="U13" s="96" t="s">
        <v>289</v>
      </c>
      <c r="V13" s="103" t="s">
        <v>227</v>
      </c>
      <c r="W13" s="104" t="s">
        <v>228</v>
      </c>
      <c r="X13" s="104" t="s">
        <v>228</v>
      </c>
      <c r="Y13" s="105" t="s">
        <v>205</v>
      </c>
      <c r="Z13" s="104" t="s">
        <v>228</v>
      </c>
      <c r="AA13" s="104" t="s">
        <v>228</v>
      </c>
      <c r="AB13" s="104" t="s">
        <v>228</v>
      </c>
      <c r="AC13" s="103" t="s">
        <v>227</v>
      </c>
      <c r="AD13" s="104" t="s">
        <v>228</v>
      </c>
      <c r="AE13" s="104" t="s">
        <v>228</v>
      </c>
      <c r="AF13" s="104" t="s">
        <v>228</v>
      </c>
      <c r="AG13" s="104" t="s">
        <v>228</v>
      </c>
      <c r="AH13" s="104" t="s">
        <v>228</v>
      </c>
      <c r="AI13" s="104" t="s">
        <v>228</v>
      </c>
      <c r="AJ13" s="103" t="s">
        <v>227</v>
      </c>
      <c r="AK13" s="104" t="s">
        <v>228</v>
      </c>
      <c r="AL13" s="104" t="s">
        <v>228</v>
      </c>
      <c r="AM13" s="104" t="s">
        <v>228</v>
      </c>
      <c r="AN13" s="104" t="s">
        <v>228</v>
      </c>
      <c r="AO13" s="104" t="s">
        <v>228</v>
      </c>
      <c r="AP13" s="104" t="s">
        <v>228</v>
      </c>
      <c r="AQ13" s="103" t="s">
        <v>227</v>
      </c>
      <c r="AR13" s="104" t="s">
        <v>228</v>
      </c>
      <c r="AS13" s="104" t="s">
        <v>228</v>
      </c>
      <c r="AT13" s="104" t="s">
        <v>228</v>
      </c>
      <c r="AU13" s="106" t="s">
        <v>229</v>
      </c>
      <c r="AV13" s="104" t="s">
        <v>228</v>
      </c>
      <c r="AW13" s="104" t="s">
        <v>228</v>
      </c>
      <c r="AX13" s="103" t="s">
        <v>227</v>
      </c>
      <c r="AY13" s="104" t="s">
        <v>228</v>
      </c>
      <c r="AZ13" s="104" t="s">
        <v>228</v>
      </c>
      <c r="BA13" s="108" t="n">
        <v>31</v>
      </c>
      <c r="BB13" s="109" t="n">
        <v>24</v>
      </c>
      <c r="BC13" s="109" t="n">
        <v>0</v>
      </c>
      <c r="BD13" s="109" t="n">
        <v>0</v>
      </c>
      <c r="BE13" s="109" t="n">
        <v>0</v>
      </c>
      <c r="BF13" s="109" t="n">
        <v>1</v>
      </c>
      <c r="BG13" s="109" t="n">
        <v>1</v>
      </c>
      <c r="BH13" s="109" t="n">
        <v>0</v>
      </c>
      <c r="BI13" s="109" t="n">
        <v>0</v>
      </c>
      <c r="BJ13" s="109" t="n">
        <v>0</v>
      </c>
      <c r="BK13" s="109" t="n">
        <v>0</v>
      </c>
      <c r="BL13" s="109" t="n">
        <v>5</v>
      </c>
      <c r="BM13" s="109" t="n">
        <v>31</v>
      </c>
      <c r="BN13" s="110"/>
      <c r="BO13" s="111" t="n">
        <v>20</v>
      </c>
      <c r="BP13" s="111" t="n">
        <v>5</v>
      </c>
      <c r="BQ13" s="111" t="n">
        <v>25</v>
      </c>
      <c r="BR13" s="111" t="n">
        <v>3.5</v>
      </c>
      <c r="BS13" s="111" t="n">
        <v>20</v>
      </c>
    </row>
    <row r="14" customFormat="false" ht="18.75" hidden="false" customHeight="true" outlineLevel="0" collapsed="false">
      <c r="A14" s="112" t="n">
        <v>12</v>
      </c>
      <c r="B14" s="113" t="s">
        <v>290</v>
      </c>
      <c r="C14" s="113" t="s">
        <v>291</v>
      </c>
      <c r="D14" s="113" t="s">
        <v>85</v>
      </c>
      <c r="E14" s="114" t="s">
        <v>292</v>
      </c>
      <c r="F14" s="115" t="s">
        <v>85</v>
      </c>
      <c r="G14" s="113" t="s">
        <v>218</v>
      </c>
      <c r="H14" s="113" t="s">
        <v>219</v>
      </c>
      <c r="I14" s="116" t="n">
        <v>45908</v>
      </c>
      <c r="J14" s="100" t="s">
        <v>265</v>
      </c>
      <c r="K14" s="113" t="s">
        <v>220</v>
      </c>
      <c r="L14" s="113" t="s">
        <v>81</v>
      </c>
      <c r="M14" s="113" t="s">
        <v>254</v>
      </c>
      <c r="N14" s="101" t="s">
        <v>222</v>
      </c>
      <c r="O14" s="113" t="s">
        <v>270</v>
      </c>
      <c r="P14" s="113" t="s">
        <v>287</v>
      </c>
      <c r="Q14" s="113"/>
      <c r="R14" s="113"/>
      <c r="S14" s="113"/>
      <c r="T14" s="113" t="s">
        <v>288</v>
      </c>
      <c r="U14" s="113" t="s">
        <v>293</v>
      </c>
      <c r="V14" s="103" t="s">
        <v>227</v>
      </c>
      <c r="W14" s="104" t="s">
        <v>228</v>
      </c>
      <c r="X14" s="106" t="s">
        <v>229</v>
      </c>
      <c r="Y14" s="104" t="s">
        <v>228</v>
      </c>
      <c r="Z14" s="104" t="s">
        <v>228</v>
      </c>
      <c r="AA14" s="104" t="s">
        <v>228</v>
      </c>
      <c r="AB14" s="104" t="s">
        <v>228</v>
      </c>
      <c r="AC14" s="103" t="s">
        <v>227</v>
      </c>
      <c r="AD14" s="104" t="s">
        <v>228</v>
      </c>
      <c r="AE14" s="104" t="s">
        <v>228</v>
      </c>
      <c r="AF14" s="104" t="s">
        <v>228</v>
      </c>
      <c r="AG14" s="104" t="s">
        <v>228</v>
      </c>
      <c r="AH14" s="104" t="s">
        <v>228</v>
      </c>
      <c r="AI14" s="103" t="s">
        <v>227</v>
      </c>
      <c r="AJ14" s="104" t="s">
        <v>228</v>
      </c>
      <c r="AK14" s="104" t="s">
        <v>228</v>
      </c>
      <c r="AL14" s="104" t="s">
        <v>228</v>
      </c>
      <c r="AM14" s="104" t="s">
        <v>228</v>
      </c>
      <c r="AN14" s="104" t="s">
        <v>228</v>
      </c>
      <c r="AO14" s="104" t="s">
        <v>228</v>
      </c>
      <c r="AP14" s="103" t="s">
        <v>227</v>
      </c>
      <c r="AQ14" s="104" t="s">
        <v>228</v>
      </c>
      <c r="AR14" s="104" t="s">
        <v>228</v>
      </c>
      <c r="AS14" s="104" t="s">
        <v>228</v>
      </c>
      <c r="AT14" s="104" t="s">
        <v>228</v>
      </c>
      <c r="AU14" s="106" t="s">
        <v>229</v>
      </c>
      <c r="AV14" s="104" t="s">
        <v>228</v>
      </c>
      <c r="AW14" s="104" t="s">
        <v>228</v>
      </c>
      <c r="AX14" s="103" t="s">
        <v>227</v>
      </c>
      <c r="AY14" s="104" t="s">
        <v>228</v>
      </c>
      <c r="AZ14" s="104" t="s">
        <v>228</v>
      </c>
      <c r="BA14" s="120" t="n">
        <v>31</v>
      </c>
      <c r="BB14" s="121" t="n">
        <v>24</v>
      </c>
      <c r="BC14" s="121" t="n">
        <v>0</v>
      </c>
      <c r="BD14" s="121" t="n">
        <v>0</v>
      </c>
      <c r="BE14" s="121" t="n">
        <v>0</v>
      </c>
      <c r="BF14" s="121" t="n">
        <v>2</v>
      </c>
      <c r="BG14" s="121" t="n">
        <v>0</v>
      </c>
      <c r="BH14" s="121" t="n">
        <v>0</v>
      </c>
      <c r="BI14" s="121" t="n">
        <v>0</v>
      </c>
      <c r="BJ14" s="121" t="n">
        <v>0</v>
      </c>
      <c r="BK14" s="121" t="n">
        <v>0</v>
      </c>
      <c r="BL14" s="121" t="n">
        <v>5</v>
      </c>
      <c r="BM14" s="121" t="n">
        <v>31</v>
      </c>
      <c r="BN14" s="122"/>
      <c r="BO14" s="123" t="n">
        <v>20</v>
      </c>
      <c r="BP14" s="123" t="n">
        <v>5</v>
      </c>
      <c r="BQ14" s="123" t="n">
        <v>25</v>
      </c>
      <c r="BR14" s="123" t="n">
        <v>3.5</v>
      </c>
      <c r="BS14" s="123" t="n">
        <v>20</v>
      </c>
    </row>
    <row r="15" customFormat="false" ht="18.75" hidden="false" customHeight="true" outlineLevel="0" collapsed="false">
      <c r="A15" s="95" t="n">
        <v>13</v>
      </c>
      <c r="B15" s="96" t="s">
        <v>294</v>
      </c>
      <c r="C15" s="96" t="s">
        <v>295</v>
      </c>
      <c r="D15" s="96" t="s">
        <v>83</v>
      </c>
      <c r="E15" s="97" t="s">
        <v>296</v>
      </c>
      <c r="F15" s="98" t="s">
        <v>83</v>
      </c>
      <c r="G15" s="96" t="s">
        <v>218</v>
      </c>
      <c r="H15" s="96" t="s">
        <v>282</v>
      </c>
      <c r="I15" s="99" t="n">
        <v>45908</v>
      </c>
      <c r="J15" s="100" t="s">
        <v>265</v>
      </c>
      <c r="K15" s="96" t="s">
        <v>220</v>
      </c>
      <c r="L15" s="96" t="s">
        <v>81</v>
      </c>
      <c r="M15" s="96" t="s">
        <v>254</v>
      </c>
      <c r="N15" s="101" t="s">
        <v>222</v>
      </c>
      <c r="O15" s="96" t="s">
        <v>287</v>
      </c>
      <c r="P15" s="96" t="s">
        <v>287</v>
      </c>
      <c r="Q15" s="96"/>
      <c r="R15" s="96"/>
      <c r="S15" s="96"/>
      <c r="T15" s="96" t="s">
        <v>288</v>
      </c>
      <c r="U15" s="96" t="s">
        <v>297</v>
      </c>
      <c r="V15" s="103" t="s">
        <v>227</v>
      </c>
      <c r="W15" s="104" t="s">
        <v>228</v>
      </c>
      <c r="X15" s="104" t="s">
        <v>228</v>
      </c>
      <c r="Y15" s="104" t="s">
        <v>228</v>
      </c>
      <c r="Z15" s="105" t="s">
        <v>205</v>
      </c>
      <c r="AA15" s="104" t="s">
        <v>228</v>
      </c>
      <c r="AB15" s="104" t="s">
        <v>228</v>
      </c>
      <c r="AC15" s="103" t="s">
        <v>227</v>
      </c>
      <c r="AD15" s="104" t="s">
        <v>228</v>
      </c>
      <c r="AE15" s="104" t="s">
        <v>228</v>
      </c>
      <c r="AF15" s="104" t="s">
        <v>228</v>
      </c>
      <c r="AG15" s="104" t="s">
        <v>228</v>
      </c>
      <c r="AH15" s="104" t="s">
        <v>228</v>
      </c>
      <c r="AI15" s="104" t="s">
        <v>228</v>
      </c>
      <c r="AJ15" s="103" t="s">
        <v>227</v>
      </c>
      <c r="AK15" s="104" t="s">
        <v>228</v>
      </c>
      <c r="AL15" s="104" t="s">
        <v>228</v>
      </c>
      <c r="AM15" s="104" t="s">
        <v>228</v>
      </c>
      <c r="AN15" s="104" t="s">
        <v>228</v>
      </c>
      <c r="AO15" s="104" t="s">
        <v>228</v>
      </c>
      <c r="AP15" s="103" t="s">
        <v>210</v>
      </c>
      <c r="AQ15" s="103" t="s">
        <v>227</v>
      </c>
      <c r="AR15" s="104" t="s">
        <v>228</v>
      </c>
      <c r="AS15" s="104" t="s">
        <v>228</v>
      </c>
      <c r="AT15" s="104" t="s">
        <v>228</v>
      </c>
      <c r="AU15" s="104" t="s">
        <v>228</v>
      </c>
      <c r="AV15" s="124" t="s">
        <v>256</v>
      </c>
      <c r="AW15" s="124" t="s">
        <v>256</v>
      </c>
      <c r="AX15" s="103" t="s">
        <v>227</v>
      </c>
      <c r="AY15" s="104" t="s">
        <v>228</v>
      </c>
      <c r="AZ15" s="104" t="s">
        <v>228</v>
      </c>
      <c r="BA15" s="108" t="n">
        <v>31</v>
      </c>
      <c r="BB15" s="109" t="n">
        <v>22</v>
      </c>
      <c r="BC15" s="109" t="n">
        <v>0</v>
      </c>
      <c r="BD15" s="109" t="n">
        <v>0</v>
      </c>
      <c r="BE15" s="109" t="n">
        <v>0</v>
      </c>
      <c r="BF15" s="109" t="n">
        <v>0</v>
      </c>
      <c r="BG15" s="109" t="n">
        <v>1</v>
      </c>
      <c r="BH15" s="109" t="n">
        <v>0</v>
      </c>
      <c r="BI15" s="109" t="n">
        <v>0</v>
      </c>
      <c r="BJ15" s="109" t="n">
        <v>0</v>
      </c>
      <c r="BK15" s="109" t="n">
        <v>0</v>
      </c>
      <c r="BL15" s="109" t="n">
        <v>5</v>
      </c>
      <c r="BM15" s="109" t="n">
        <v>28</v>
      </c>
      <c r="BN15" s="110"/>
      <c r="BO15" s="111" t="n">
        <v>20</v>
      </c>
      <c r="BP15" s="111" t="n">
        <v>5</v>
      </c>
      <c r="BQ15" s="111" t="n">
        <v>25</v>
      </c>
      <c r="BR15" s="111" t="n">
        <v>3.5</v>
      </c>
      <c r="BS15" s="111" t="n">
        <v>20</v>
      </c>
    </row>
    <row r="16" customFormat="false" ht="18.75" hidden="false" customHeight="true" outlineLevel="0" collapsed="false">
      <c r="A16" s="112" t="n">
        <v>14</v>
      </c>
      <c r="B16" s="113" t="s">
        <v>298</v>
      </c>
      <c r="C16" s="113" t="s">
        <v>299</v>
      </c>
      <c r="D16" s="113" t="s">
        <v>108</v>
      </c>
      <c r="E16" s="114" t="s">
        <v>300</v>
      </c>
      <c r="F16" s="115" t="s">
        <v>108</v>
      </c>
      <c r="G16" s="113" t="s">
        <v>218</v>
      </c>
      <c r="H16" s="113" t="s">
        <v>219</v>
      </c>
      <c r="I16" s="116" t="n">
        <v>45909</v>
      </c>
      <c r="J16" s="100" t="s">
        <v>265</v>
      </c>
      <c r="K16" s="113" t="s">
        <v>220</v>
      </c>
      <c r="L16" s="113" t="s">
        <v>81</v>
      </c>
      <c r="M16" s="113" t="s">
        <v>254</v>
      </c>
      <c r="N16" s="101" t="s">
        <v>222</v>
      </c>
      <c r="O16" s="113" t="s">
        <v>270</v>
      </c>
      <c r="P16" s="113" t="s">
        <v>287</v>
      </c>
      <c r="Q16" s="113"/>
      <c r="R16" s="113"/>
      <c r="S16" s="113"/>
      <c r="T16" s="113" t="s">
        <v>301</v>
      </c>
      <c r="U16" s="113" t="s">
        <v>302</v>
      </c>
      <c r="V16" s="103" t="s">
        <v>227</v>
      </c>
      <c r="W16" s="104" t="s">
        <v>228</v>
      </c>
      <c r="X16" s="104" t="s">
        <v>228</v>
      </c>
      <c r="Y16" s="105" t="s">
        <v>205</v>
      </c>
      <c r="Z16" s="104" t="s">
        <v>228</v>
      </c>
      <c r="AA16" s="104" t="s">
        <v>228</v>
      </c>
      <c r="AB16" s="104" t="s">
        <v>228</v>
      </c>
      <c r="AC16" s="103" t="s">
        <v>227</v>
      </c>
      <c r="AD16" s="124" t="s">
        <v>202</v>
      </c>
      <c r="AE16" s="104" t="s">
        <v>228</v>
      </c>
      <c r="AF16" s="104" t="s">
        <v>228</v>
      </c>
      <c r="AG16" s="104" t="s">
        <v>228</v>
      </c>
      <c r="AH16" s="104" t="s">
        <v>228</v>
      </c>
      <c r="AI16" s="104" t="s">
        <v>228</v>
      </c>
      <c r="AJ16" s="103" t="s">
        <v>227</v>
      </c>
      <c r="AK16" s="104" t="s">
        <v>228</v>
      </c>
      <c r="AL16" s="104" t="s">
        <v>228</v>
      </c>
      <c r="AM16" s="104" t="s">
        <v>228</v>
      </c>
      <c r="AN16" s="104" t="s">
        <v>228</v>
      </c>
      <c r="AO16" s="104" t="s">
        <v>228</v>
      </c>
      <c r="AP16" s="104" t="s">
        <v>228</v>
      </c>
      <c r="AQ16" s="103" t="s">
        <v>227</v>
      </c>
      <c r="AR16" s="104" t="s">
        <v>228</v>
      </c>
      <c r="AS16" s="104" t="s">
        <v>228</v>
      </c>
      <c r="AT16" s="104" t="s">
        <v>228</v>
      </c>
      <c r="AU16" s="106" t="s">
        <v>229</v>
      </c>
      <c r="AV16" s="103" t="s">
        <v>227</v>
      </c>
      <c r="AW16" s="104" t="s">
        <v>228</v>
      </c>
      <c r="AX16" s="104" t="s">
        <v>228</v>
      </c>
      <c r="AY16" s="104" t="s">
        <v>228</v>
      </c>
      <c r="AZ16" s="104" t="s">
        <v>228</v>
      </c>
      <c r="BA16" s="120" t="n">
        <v>31</v>
      </c>
      <c r="BB16" s="121" t="n">
        <v>23</v>
      </c>
      <c r="BC16" s="121" t="n">
        <v>0</v>
      </c>
      <c r="BD16" s="121" t="n">
        <v>1</v>
      </c>
      <c r="BE16" s="121" t="n">
        <v>0</v>
      </c>
      <c r="BF16" s="121" t="n">
        <v>1</v>
      </c>
      <c r="BG16" s="121" t="n">
        <v>1</v>
      </c>
      <c r="BH16" s="121" t="n">
        <v>0</v>
      </c>
      <c r="BI16" s="121" t="n">
        <v>0</v>
      </c>
      <c r="BJ16" s="121" t="n">
        <v>0</v>
      </c>
      <c r="BK16" s="121" t="n">
        <v>0</v>
      </c>
      <c r="BL16" s="121" t="n">
        <v>5</v>
      </c>
      <c r="BM16" s="121" t="n">
        <v>30</v>
      </c>
      <c r="BN16" s="122"/>
      <c r="BO16" s="123" t="n">
        <v>20</v>
      </c>
      <c r="BP16" s="123" t="n">
        <v>5</v>
      </c>
      <c r="BQ16" s="123" t="n">
        <v>25</v>
      </c>
      <c r="BR16" s="123" t="n">
        <v>3.5</v>
      </c>
      <c r="BS16" s="123" t="n">
        <v>20</v>
      </c>
    </row>
    <row r="17" customFormat="false" ht="18.75" hidden="false" customHeight="true" outlineLevel="0" collapsed="false">
      <c r="A17" s="95" t="n">
        <v>15</v>
      </c>
      <c r="B17" s="96" t="s">
        <v>303</v>
      </c>
      <c r="C17" s="96" t="s">
        <v>304</v>
      </c>
      <c r="D17" s="96" t="s">
        <v>87</v>
      </c>
      <c r="E17" s="97"/>
      <c r="F17" s="98" t="s">
        <v>87</v>
      </c>
      <c r="G17" s="96" t="s">
        <v>218</v>
      </c>
      <c r="H17" s="96" t="s">
        <v>219</v>
      </c>
      <c r="I17" s="99" t="n">
        <v>45908</v>
      </c>
      <c r="J17" s="100" t="s">
        <v>265</v>
      </c>
      <c r="K17" s="96" t="s">
        <v>220</v>
      </c>
      <c r="L17" s="96" t="s">
        <v>81</v>
      </c>
      <c r="M17" s="96" t="s">
        <v>254</v>
      </c>
      <c r="N17" s="101" t="s">
        <v>222</v>
      </c>
      <c r="O17" s="96" t="s">
        <v>287</v>
      </c>
      <c r="P17" s="96" t="s">
        <v>287</v>
      </c>
      <c r="Q17" s="96"/>
      <c r="R17" s="96"/>
      <c r="S17" s="96"/>
      <c r="T17" s="96" t="s">
        <v>288</v>
      </c>
      <c r="U17" s="96" t="s">
        <v>305</v>
      </c>
      <c r="V17" s="103" t="s">
        <v>227</v>
      </c>
      <c r="W17" s="104" t="s">
        <v>228</v>
      </c>
      <c r="X17" s="104" t="s">
        <v>228</v>
      </c>
      <c r="Y17" s="105" t="s">
        <v>205</v>
      </c>
      <c r="Z17" s="104" t="s">
        <v>228</v>
      </c>
      <c r="AA17" s="104" t="s">
        <v>228</v>
      </c>
      <c r="AB17" s="104" t="s">
        <v>228</v>
      </c>
      <c r="AC17" s="103" t="s">
        <v>227</v>
      </c>
      <c r="AD17" s="104" t="s">
        <v>228</v>
      </c>
      <c r="AE17" s="104" t="s">
        <v>228</v>
      </c>
      <c r="AF17" s="104" t="s">
        <v>228</v>
      </c>
      <c r="AG17" s="104" t="s">
        <v>228</v>
      </c>
      <c r="AH17" s="104" t="s">
        <v>228</v>
      </c>
      <c r="AI17" s="104" t="s">
        <v>228</v>
      </c>
      <c r="AJ17" s="103" t="s">
        <v>227</v>
      </c>
      <c r="AK17" s="104" t="s">
        <v>228</v>
      </c>
      <c r="AL17" s="104" t="s">
        <v>228</v>
      </c>
      <c r="AM17" s="104" t="s">
        <v>228</v>
      </c>
      <c r="AN17" s="104" t="s">
        <v>228</v>
      </c>
      <c r="AO17" s="125" t="s">
        <v>306</v>
      </c>
      <c r="AP17" s="104" t="s">
        <v>228</v>
      </c>
      <c r="AQ17" s="103" t="s">
        <v>227</v>
      </c>
      <c r="AR17" s="104" t="s">
        <v>228</v>
      </c>
      <c r="AS17" s="104" t="s">
        <v>228</v>
      </c>
      <c r="AT17" s="104" t="s">
        <v>228</v>
      </c>
      <c r="AU17" s="106" t="s">
        <v>229</v>
      </c>
      <c r="AV17" s="104" t="s">
        <v>228</v>
      </c>
      <c r="AW17" s="104" t="s">
        <v>228</v>
      </c>
      <c r="AX17" s="103" t="s">
        <v>227</v>
      </c>
      <c r="AY17" s="104" t="s">
        <v>228</v>
      </c>
      <c r="AZ17" s="104" t="s">
        <v>228</v>
      </c>
      <c r="BA17" s="108" t="n">
        <v>31</v>
      </c>
      <c r="BB17" s="109" t="n">
        <v>23</v>
      </c>
      <c r="BC17" s="109" t="n">
        <v>0</v>
      </c>
      <c r="BD17" s="109" t="n">
        <v>0</v>
      </c>
      <c r="BE17" s="109" t="n">
        <v>0</v>
      </c>
      <c r="BF17" s="109" t="n">
        <v>1</v>
      </c>
      <c r="BG17" s="109" t="n">
        <v>1</v>
      </c>
      <c r="BH17" s="109" t="n">
        <v>0</v>
      </c>
      <c r="BI17" s="109" t="n">
        <v>0</v>
      </c>
      <c r="BJ17" s="109" t="n">
        <v>0</v>
      </c>
      <c r="BK17" s="109" t="n">
        <v>0</v>
      </c>
      <c r="BL17" s="109" t="n">
        <v>5</v>
      </c>
      <c r="BM17" s="109" t="n">
        <v>30</v>
      </c>
      <c r="BN17" s="110"/>
      <c r="BO17" s="111" t="n">
        <v>20</v>
      </c>
      <c r="BP17" s="111" t="n">
        <v>5</v>
      </c>
      <c r="BQ17" s="111" t="n">
        <v>25</v>
      </c>
      <c r="BR17" s="111" t="n">
        <v>3.5</v>
      </c>
      <c r="BS17" s="111" t="n">
        <v>20</v>
      </c>
    </row>
    <row r="18" customFormat="false" ht="18.75" hidden="false" customHeight="true" outlineLevel="0" collapsed="false">
      <c r="A18" s="112" t="n">
        <v>16</v>
      </c>
      <c r="B18" s="113" t="s">
        <v>307</v>
      </c>
      <c r="C18" s="113" t="s">
        <v>308</v>
      </c>
      <c r="D18" s="113" t="s">
        <v>309</v>
      </c>
      <c r="E18" s="114"/>
      <c r="F18" s="115" t="s">
        <v>310</v>
      </c>
      <c r="G18" s="113" t="s">
        <v>218</v>
      </c>
      <c r="H18" s="113" t="s">
        <v>219</v>
      </c>
      <c r="I18" s="127"/>
      <c r="J18" s="100" t="s">
        <v>265</v>
      </c>
      <c r="K18" s="113" t="s">
        <v>220</v>
      </c>
      <c r="L18" s="113" t="s">
        <v>81</v>
      </c>
      <c r="M18" s="113" t="s">
        <v>254</v>
      </c>
      <c r="N18" s="128" t="s">
        <v>311</v>
      </c>
      <c r="O18" s="113" t="s">
        <v>247</v>
      </c>
      <c r="P18" s="113" t="s">
        <v>223</v>
      </c>
      <c r="Q18" s="113"/>
      <c r="R18" s="113"/>
      <c r="S18" s="113"/>
      <c r="T18" s="113" t="s">
        <v>312</v>
      </c>
      <c r="U18" s="113"/>
      <c r="V18" s="103" t="s">
        <v>227</v>
      </c>
      <c r="W18" s="104" t="s">
        <v>228</v>
      </c>
      <c r="X18" s="104" t="s">
        <v>228</v>
      </c>
      <c r="Y18" s="104" t="s">
        <v>228</v>
      </c>
      <c r="Z18" s="104" t="s">
        <v>228</v>
      </c>
      <c r="AA18" s="104" t="s">
        <v>228</v>
      </c>
      <c r="AB18" s="124" t="s">
        <v>202</v>
      </c>
      <c r="AC18" s="103" t="s">
        <v>227</v>
      </c>
      <c r="AD18" s="104" t="s">
        <v>228</v>
      </c>
      <c r="AE18" s="124" t="s">
        <v>202</v>
      </c>
      <c r="AF18" s="125" t="s">
        <v>201</v>
      </c>
      <c r="AG18" s="124" t="s">
        <v>202</v>
      </c>
      <c r="AH18" s="126" t="s">
        <v>208</v>
      </c>
      <c r="AI18" s="126" t="s">
        <v>272</v>
      </c>
      <c r="AJ18" s="103" t="s">
        <v>227</v>
      </c>
      <c r="AK18" s="126" t="s">
        <v>208</v>
      </c>
      <c r="AL18" s="126" t="s">
        <v>272</v>
      </c>
      <c r="AM18" s="126" t="s">
        <v>208</v>
      </c>
      <c r="AN18" s="126" t="s">
        <v>208</v>
      </c>
      <c r="AO18" s="126" t="s">
        <v>208</v>
      </c>
      <c r="AP18" s="126" t="s">
        <v>208</v>
      </c>
      <c r="AQ18" s="126" t="s">
        <v>208</v>
      </c>
      <c r="AR18" s="126" t="s">
        <v>208</v>
      </c>
      <c r="AS18" s="126" t="s">
        <v>208</v>
      </c>
      <c r="AT18" s="126" t="s">
        <v>208</v>
      </c>
      <c r="AU18" s="126" t="s">
        <v>208</v>
      </c>
      <c r="AV18" s="126" t="s">
        <v>208</v>
      </c>
      <c r="AW18" s="126" t="s">
        <v>208</v>
      </c>
      <c r="AX18" s="126" t="s">
        <v>208</v>
      </c>
      <c r="AY18" s="126" t="s">
        <v>208</v>
      </c>
      <c r="AZ18" s="126" t="s">
        <v>208</v>
      </c>
      <c r="BA18" s="120" t="n">
        <v>31</v>
      </c>
      <c r="BB18" s="121" t="n">
        <v>6</v>
      </c>
      <c r="BC18" s="121" t="n">
        <v>1</v>
      </c>
      <c r="BD18" s="121" t="n">
        <v>3</v>
      </c>
      <c r="BE18" s="121" t="n">
        <v>0</v>
      </c>
      <c r="BF18" s="121" t="n">
        <v>0</v>
      </c>
      <c r="BG18" s="121" t="n">
        <v>0</v>
      </c>
      <c r="BH18" s="121" t="n">
        <v>0</v>
      </c>
      <c r="BI18" s="121" t="n">
        <v>2</v>
      </c>
      <c r="BJ18" s="121" t="n">
        <v>16</v>
      </c>
      <c r="BK18" s="121" t="n">
        <v>0</v>
      </c>
      <c r="BL18" s="121" t="n">
        <v>3</v>
      </c>
      <c r="BM18" s="121" t="n">
        <v>9.5</v>
      </c>
      <c r="BN18" s="122"/>
      <c r="BO18" s="123" t="n">
        <v>20</v>
      </c>
      <c r="BP18" s="123" t="n">
        <v>5</v>
      </c>
      <c r="BQ18" s="123" t="n">
        <v>25</v>
      </c>
      <c r="BR18" s="123" t="n">
        <v>3.5</v>
      </c>
      <c r="BS18" s="123" t="n">
        <v>20</v>
      </c>
    </row>
    <row r="19" customFormat="false" ht="18.75" hidden="false" customHeight="true" outlineLevel="0" collapsed="false">
      <c r="A19" s="95" t="n">
        <v>17</v>
      </c>
      <c r="B19" s="96" t="s">
        <v>313</v>
      </c>
      <c r="C19" s="96" t="s">
        <v>314</v>
      </c>
      <c r="D19" s="96" t="s">
        <v>315</v>
      </c>
      <c r="E19" s="97" t="s">
        <v>315</v>
      </c>
      <c r="F19" s="98" t="s">
        <v>316</v>
      </c>
      <c r="G19" s="96" t="s">
        <v>223</v>
      </c>
      <c r="H19" s="96" t="s">
        <v>219</v>
      </c>
      <c r="I19" s="99" t="n">
        <v>45533</v>
      </c>
      <c r="J19" s="100" t="s">
        <v>317</v>
      </c>
      <c r="K19" s="96" t="s">
        <v>220</v>
      </c>
      <c r="L19" s="96" t="s">
        <v>81</v>
      </c>
      <c r="M19" s="96" t="s">
        <v>318</v>
      </c>
      <c r="N19" s="128" t="s">
        <v>319</v>
      </c>
      <c r="O19" s="96" t="s">
        <v>247</v>
      </c>
      <c r="P19" s="96" t="s">
        <v>223</v>
      </c>
      <c r="Q19" s="96"/>
      <c r="R19" s="96"/>
      <c r="S19" s="96"/>
      <c r="T19" s="96" t="s">
        <v>320</v>
      </c>
      <c r="U19" s="96"/>
      <c r="V19" s="103" t="s">
        <v>227</v>
      </c>
      <c r="W19" s="107"/>
      <c r="X19" s="107"/>
      <c r="Y19" s="107"/>
      <c r="Z19" s="104" t="s">
        <v>228</v>
      </c>
      <c r="AA19" s="104" t="s">
        <v>228</v>
      </c>
      <c r="AB19" s="104" t="s">
        <v>228</v>
      </c>
      <c r="AC19" s="103" t="s">
        <v>227</v>
      </c>
      <c r="AD19" s="104" t="s">
        <v>228</v>
      </c>
      <c r="AE19" s="104" t="s">
        <v>228</v>
      </c>
      <c r="AF19" s="104" t="s">
        <v>228</v>
      </c>
      <c r="AG19" s="104" t="s">
        <v>228</v>
      </c>
      <c r="AH19" s="104" t="s">
        <v>228</v>
      </c>
      <c r="AI19" s="104" t="s">
        <v>228</v>
      </c>
      <c r="AJ19" s="104" t="s">
        <v>228</v>
      </c>
      <c r="AK19" s="124" t="s">
        <v>202</v>
      </c>
      <c r="AL19" s="104" t="s">
        <v>228</v>
      </c>
      <c r="AM19" s="104" t="s">
        <v>228</v>
      </c>
      <c r="AN19" s="104" t="s">
        <v>228</v>
      </c>
      <c r="AO19" s="104" t="s">
        <v>228</v>
      </c>
      <c r="AP19" s="104" t="s">
        <v>228</v>
      </c>
      <c r="AQ19" s="104" t="s">
        <v>228</v>
      </c>
      <c r="AR19" s="104" t="s">
        <v>228</v>
      </c>
      <c r="AS19" s="104" t="s">
        <v>228</v>
      </c>
      <c r="AT19" s="104" t="s">
        <v>228</v>
      </c>
      <c r="AU19" s="104" t="s">
        <v>228</v>
      </c>
      <c r="AV19" s="104" t="s">
        <v>228</v>
      </c>
      <c r="AW19" s="104" t="s">
        <v>228</v>
      </c>
      <c r="AX19" s="103" t="s">
        <v>227</v>
      </c>
      <c r="AY19" s="104" t="s">
        <v>228</v>
      </c>
      <c r="AZ19" s="104" t="s">
        <v>228</v>
      </c>
      <c r="BA19" s="108" t="n">
        <v>28</v>
      </c>
      <c r="BB19" s="109" t="n">
        <v>24</v>
      </c>
      <c r="BC19" s="109" t="n">
        <v>0</v>
      </c>
      <c r="BD19" s="109" t="n">
        <v>1</v>
      </c>
      <c r="BE19" s="109" t="n">
        <v>0</v>
      </c>
      <c r="BF19" s="109" t="n">
        <v>0</v>
      </c>
      <c r="BG19" s="109" t="n">
        <v>0</v>
      </c>
      <c r="BH19" s="109" t="n">
        <v>0</v>
      </c>
      <c r="BI19" s="109" t="n">
        <v>0</v>
      </c>
      <c r="BJ19" s="109" t="n">
        <v>0</v>
      </c>
      <c r="BK19" s="109" t="n">
        <v>0</v>
      </c>
      <c r="BL19" s="109" t="n">
        <v>3</v>
      </c>
      <c r="BM19" s="109" t="n">
        <v>27</v>
      </c>
      <c r="BN19" s="110"/>
      <c r="BO19" s="111" t="n">
        <v>20</v>
      </c>
      <c r="BP19" s="111" t="n">
        <v>5</v>
      </c>
      <c r="BQ19" s="111" t="n">
        <v>25</v>
      </c>
      <c r="BR19" s="111" t="n">
        <v>3.5</v>
      </c>
      <c r="BS19" s="111" t="n">
        <v>20</v>
      </c>
    </row>
    <row r="20" customFormat="false" ht="18.75" hidden="false" customHeight="true" outlineLevel="0" collapsed="false">
      <c r="A20" s="112" t="n">
        <v>18</v>
      </c>
      <c r="B20" s="113" t="s">
        <v>321</v>
      </c>
      <c r="C20" s="113" t="s">
        <v>322</v>
      </c>
      <c r="D20" s="113" t="s">
        <v>118</v>
      </c>
      <c r="E20" s="114" t="s">
        <v>323</v>
      </c>
      <c r="F20" s="115" t="s">
        <v>118</v>
      </c>
      <c r="G20" s="113" t="s">
        <v>223</v>
      </c>
      <c r="H20" s="113" t="s">
        <v>282</v>
      </c>
      <c r="I20" s="116" t="n">
        <v>45810</v>
      </c>
      <c r="J20" s="100" t="s">
        <v>324</v>
      </c>
      <c r="K20" s="113" t="s">
        <v>220</v>
      </c>
      <c r="L20" s="113" t="s">
        <v>71</v>
      </c>
      <c r="M20" s="113" t="s">
        <v>254</v>
      </c>
      <c r="N20" s="101" t="s">
        <v>222</v>
      </c>
      <c r="O20" s="113" t="s">
        <v>270</v>
      </c>
      <c r="P20" s="113" t="s">
        <v>223</v>
      </c>
      <c r="Q20" s="113"/>
      <c r="R20" s="113" t="s">
        <v>223</v>
      </c>
      <c r="S20" s="113" t="s">
        <v>270</v>
      </c>
      <c r="T20" s="113" t="s">
        <v>234</v>
      </c>
      <c r="U20" s="113" t="s">
        <v>325</v>
      </c>
      <c r="V20" s="104" t="s">
        <v>228</v>
      </c>
      <c r="W20" s="104" t="s">
        <v>228</v>
      </c>
      <c r="X20" s="104" t="s">
        <v>228</v>
      </c>
      <c r="Y20" s="125" t="s">
        <v>201</v>
      </c>
      <c r="Z20" s="104" t="s">
        <v>228</v>
      </c>
      <c r="AA20" s="104" t="s">
        <v>228</v>
      </c>
      <c r="AB20" s="103" t="s">
        <v>227</v>
      </c>
      <c r="AC20" s="104" t="s">
        <v>228</v>
      </c>
      <c r="AD20" s="104" t="s">
        <v>228</v>
      </c>
      <c r="AE20" s="104" t="s">
        <v>228</v>
      </c>
      <c r="AF20" s="104" t="s">
        <v>228</v>
      </c>
      <c r="AG20" s="104" t="s">
        <v>228</v>
      </c>
      <c r="AH20" s="104" t="s">
        <v>228</v>
      </c>
      <c r="AI20" s="103" t="s">
        <v>227</v>
      </c>
      <c r="AJ20" s="104" t="s">
        <v>228</v>
      </c>
      <c r="AK20" s="104" t="s">
        <v>228</v>
      </c>
      <c r="AL20" s="104" t="s">
        <v>228</v>
      </c>
      <c r="AM20" s="104" t="s">
        <v>228</v>
      </c>
      <c r="AN20" s="104" t="s">
        <v>228</v>
      </c>
      <c r="AO20" s="105" t="s">
        <v>205</v>
      </c>
      <c r="AP20" s="129" t="s">
        <v>326</v>
      </c>
      <c r="AQ20" s="104" t="s">
        <v>228</v>
      </c>
      <c r="AR20" s="104" t="s">
        <v>228</v>
      </c>
      <c r="AS20" s="104" t="s">
        <v>228</v>
      </c>
      <c r="AT20" s="104" t="s">
        <v>228</v>
      </c>
      <c r="AU20" s="104" t="s">
        <v>228</v>
      </c>
      <c r="AV20" s="104" t="s">
        <v>228</v>
      </c>
      <c r="AW20" s="103" t="s">
        <v>227</v>
      </c>
      <c r="AX20" s="104" t="s">
        <v>228</v>
      </c>
      <c r="AY20" s="104" t="s">
        <v>228</v>
      </c>
      <c r="AZ20" s="104" t="s">
        <v>228</v>
      </c>
      <c r="BA20" s="120" t="n">
        <v>31</v>
      </c>
      <c r="BB20" s="121" t="n">
        <v>25</v>
      </c>
      <c r="BC20" s="121" t="n">
        <v>1</v>
      </c>
      <c r="BD20" s="121" t="n">
        <v>0</v>
      </c>
      <c r="BE20" s="121" t="n">
        <v>1</v>
      </c>
      <c r="BF20" s="121" t="n">
        <v>0</v>
      </c>
      <c r="BG20" s="121" t="n">
        <v>1</v>
      </c>
      <c r="BH20" s="121" t="n">
        <v>0</v>
      </c>
      <c r="BI20" s="121" t="n">
        <v>0</v>
      </c>
      <c r="BJ20" s="121" t="n">
        <v>0</v>
      </c>
      <c r="BK20" s="121" t="n">
        <v>0</v>
      </c>
      <c r="BL20" s="121" t="n">
        <v>3</v>
      </c>
      <c r="BM20" s="121" t="n">
        <v>30.5</v>
      </c>
      <c r="BN20" s="122"/>
      <c r="BO20" s="123" t="n">
        <v>40</v>
      </c>
      <c r="BP20" s="123" t="n">
        <v>15</v>
      </c>
      <c r="BQ20" s="123" t="n">
        <v>55</v>
      </c>
      <c r="BR20" s="123" t="n">
        <v>11</v>
      </c>
      <c r="BS20" s="123" t="n">
        <v>44</v>
      </c>
    </row>
    <row r="21" customFormat="false" ht="18.75" hidden="false" customHeight="true" outlineLevel="0" collapsed="false">
      <c r="A21" s="95" t="n">
        <v>19</v>
      </c>
      <c r="B21" s="96" t="s">
        <v>327</v>
      </c>
      <c r="C21" s="96" t="s">
        <v>328</v>
      </c>
      <c r="D21" s="96" t="s">
        <v>329</v>
      </c>
      <c r="E21" s="97" t="s">
        <v>329</v>
      </c>
      <c r="F21" s="98" t="s">
        <v>114</v>
      </c>
      <c r="G21" s="96" t="s">
        <v>218</v>
      </c>
      <c r="H21" s="96" t="s">
        <v>219</v>
      </c>
      <c r="I21" s="99" t="n">
        <v>45509</v>
      </c>
      <c r="J21" s="100" t="s">
        <v>324</v>
      </c>
      <c r="K21" s="96" t="s">
        <v>220</v>
      </c>
      <c r="L21" s="96" t="s">
        <v>71</v>
      </c>
      <c r="M21" s="96" t="s">
        <v>221</v>
      </c>
      <c r="N21" s="101" t="s">
        <v>222</v>
      </c>
      <c r="O21" s="96" t="s">
        <v>270</v>
      </c>
      <c r="P21" s="96" t="s">
        <v>223</v>
      </c>
      <c r="Q21" s="96"/>
      <c r="R21" s="96" t="s">
        <v>223</v>
      </c>
      <c r="S21" s="96" t="s">
        <v>223</v>
      </c>
      <c r="T21" s="96" t="s">
        <v>225</v>
      </c>
      <c r="U21" s="96" t="s">
        <v>330</v>
      </c>
      <c r="V21" s="104" t="s">
        <v>228</v>
      </c>
      <c r="W21" s="104" t="s">
        <v>228</v>
      </c>
      <c r="X21" s="104" t="s">
        <v>228</v>
      </c>
      <c r="Y21" s="105" t="s">
        <v>205</v>
      </c>
      <c r="Z21" s="104" t="s">
        <v>228</v>
      </c>
      <c r="AA21" s="104" t="s">
        <v>228</v>
      </c>
      <c r="AB21" s="129" t="s">
        <v>326</v>
      </c>
      <c r="AC21" s="103" t="s">
        <v>227</v>
      </c>
      <c r="AD21" s="104" t="s">
        <v>228</v>
      </c>
      <c r="AE21" s="104" t="s">
        <v>228</v>
      </c>
      <c r="AF21" s="104" t="s">
        <v>228</v>
      </c>
      <c r="AG21" s="104" t="s">
        <v>228</v>
      </c>
      <c r="AH21" s="104" t="s">
        <v>228</v>
      </c>
      <c r="AI21" s="103" t="s">
        <v>227</v>
      </c>
      <c r="AJ21" s="104" t="s">
        <v>228</v>
      </c>
      <c r="AK21" s="104" t="s">
        <v>228</v>
      </c>
      <c r="AL21" s="104" t="s">
        <v>228</v>
      </c>
      <c r="AM21" s="124" t="s">
        <v>202</v>
      </c>
      <c r="AN21" s="104" t="s">
        <v>228</v>
      </c>
      <c r="AO21" s="104" t="s">
        <v>228</v>
      </c>
      <c r="AP21" s="103" t="s">
        <v>227</v>
      </c>
      <c r="AQ21" s="104" t="s">
        <v>228</v>
      </c>
      <c r="AR21" s="104" t="s">
        <v>228</v>
      </c>
      <c r="AS21" s="104" t="s">
        <v>228</v>
      </c>
      <c r="AT21" s="104" t="s">
        <v>228</v>
      </c>
      <c r="AU21" s="104" t="s">
        <v>228</v>
      </c>
      <c r="AV21" s="104" t="s">
        <v>228</v>
      </c>
      <c r="AW21" s="103" t="s">
        <v>227</v>
      </c>
      <c r="AX21" s="104" t="s">
        <v>228</v>
      </c>
      <c r="AY21" s="104" t="s">
        <v>228</v>
      </c>
      <c r="AZ21" s="104" t="s">
        <v>228</v>
      </c>
      <c r="BA21" s="108" t="n">
        <v>31</v>
      </c>
      <c r="BB21" s="109" t="n">
        <v>24</v>
      </c>
      <c r="BC21" s="109" t="n">
        <v>0</v>
      </c>
      <c r="BD21" s="109" t="n">
        <v>1</v>
      </c>
      <c r="BE21" s="109" t="n">
        <v>1</v>
      </c>
      <c r="BF21" s="109" t="n">
        <v>0</v>
      </c>
      <c r="BG21" s="109" t="n">
        <v>1</v>
      </c>
      <c r="BH21" s="109" t="n">
        <v>0</v>
      </c>
      <c r="BI21" s="109" t="n">
        <v>0</v>
      </c>
      <c r="BJ21" s="109" t="n">
        <v>0</v>
      </c>
      <c r="BK21" s="109" t="n">
        <v>0</v>
      </c>
      <c r="BL21" s="109" t="n">
        <v>4</v>
      </c>
      <c r="BM21" s="109" t="n">
        <v>30</v>
      </c>
      <c r="BN21" s="110"/>
      <c r="BO21" s="111" t="n">
        <v>40</v>
      </c>
      <c r="BP21" s="111" t="n">
        <v>15</v>
      </c>
      <c r="BQ21" s="111" t="n">
        <v>55</v>
      </c>
      <c r="BR21" s="111" t="n">
        <v>11</v>
      </c>
      <c r="BS21" s="111" t="n">
        <v>44</v>
      </c>
    </row>
    <row r="22" customFormat="false" ht="18.75" hidden="false" customHeight="true" outlineLevel="0" collapsed="false">
      <c r="A22" s="112" t="n">
        <v>20</v>
      </c>
      <c r="B22" s="113" t="s">
        <v>331</v>
      </c>
      <c r="C22" s="113" t="s">
        <v>332</v>
      </c>
      <c r="D22" s="113" t="s">
        <v>140</v>
      </c>
      <c r="E22" s="114" t="s">
        <v>333</v>
      </c>
      <c r="F22" s="115" t="s">
        <v>140</v>
      </c>
      <c r="G22" s="113" t="s">
        <v>223</v>
      </c>
      <c r="H22" s="113" t="s">
        <v>219</v>
      </c>
      <c r="I22" s="116" t="n">
        <v>45810</v>
      </c>
      <c r="J22" s="100" t="s">
        <v>324</v>
      </c>
      <c r="K22" s="113" t="s">
        <v>253</v>
      </c>
      <c r="L22" s="113" t="s">
        <v>71</v>
      </c>
      <c r="M22" s="113" t="s">
        <v>254</v>
      </c>
      <c r="N22" s="101" t="s">
        <v>222</v>
      </c>
      <c r="O22" s="113" t="s">
        <v>270</v>
      </c>
      <c r="P22" s="113" t="s">
        <v>223</v>
      </c>
      <c r="Q22" s="113"/>
      <c r="R22" s="113" t="s">
        <v>223</v>
      </c>
      <c r="S22" s="113" t="s">
        <v>223</v>
      </c>
      <c r="T22" s="113" t="s">
        <v>334</v>
      </c>
      <c r="U22" s="113" t="s">
        <v>335</v>
      </c>
      <c r="V22" s="103" t="s">
        <v>227</v>
      </c>
      <c r="W22" s="104" t="s">
        <v>228</v>
      </c>
      <c r="X22" s="104" t="s">
        <v>228</v>
      </c>
      <c r="Y22" s="105" t="s">
        <v>205</v>
      </c>
      <c r="Z22" s="104" t="s">
        <v>228</v>
      </c>
      <c r="AA22" s="125" t="s">
        <v>201</v>
      </c>
      <c r="AB22" s="103" t="s">
        <v>227</v>
      </c>
      <c r="AC22" s="104" t="s">
        <v>228</v>
      </c>
      <c r="AD22" s="104" t="s">
        <v>228</v>
      </c>
      <c r="AE22" s="104" t="s">
        <v>228</v>
      </c>
      <c r="AF22" s="104" t="s">
        <v>228</v>
      </c>
      <c r="AG22" s="104" t="s">
        <v>228</v>
      </c>
      <c r="AH22" s="104" t="s">
        <v>228</v>
      </c>
      <c r="AI22" s="103" t="s">
        <v>227</v>
      </c>
      <c r="AJ22" s="104" t="s">
        <v>228</v>
      </c>
      <c r="AK22" s="104" t="s">
        <v>228</v>
      </c>
      <c r="AL22" s="124" t="s">
        <v>202</v>
      </c>
      <c r="AM22" s="104" t="s">
        <v>228</v>
      </c>
      <c r="AN22" s="125" t="s">
        <v>201</v>
      </c>
      <c r="AO22" s="104" t="s">
        <v>228</v>
      </c>
      <c r="AP22" s="103" t="s">
        <v>227</v>
      </c>
      <c r="AQ22" s="104" t="s">
        <v>228</v>
      </c>
      <c r="AR22" s="104" t="s">
        <v>228</v>
      </c>
      <c r="AS22" s="104" t="s">
        <v>228</v>
      </c>
      <c r="AT22" s="104" t="s">
        <v>228</v>
      </c>
      <c r="AU22" s="106" t="s">
        <v>229</v>
      </c>
      <c r="AV22" s="104" t="s">
        <v>228</v>
      </c>
      <c r="AW22" s="103" t="s">
        <v>227</v>
      </c>
      <c r="AX22" s="104" t="s">
        <v>228</v>
      </c>
      <c r="AY22" s="104" t="s">
        <v>228</v>
      </c>
      <c r="AZ22" s="104" t="s">
        <v>228</v>
      </c>
      <c r="BA22" s="120" t="n">
        <v>31</v>
      </c>
      <c r="BB22" s="121" t="n">
        <v>21</v>
      </c>
      <c r="BC22" s="121" t="n">
        <v>2</v>
      </c>
      <c r="BD22" s="121" t="n">
        <v>1</v>
      </c>
      <c r="BE22" s="121" t="n">
        <v>0</v>
      </c>
      <c r="BF22" s="121" t="n">
        <v>1</v>
      </c>
      <c r="BG22" s="121" t="n">
        <v>1</v>
      </c>
      <c r="BH22" s="121" t="n">
        <v>0</v>
      </c>
      <c r="BI22" s="121" t="n">
        <v>0</v>
      </c>
      <c r="BJ22" s="121" t="n">
        <v>0</v>
      </c>
      <c r="BK22" s="121" t="n">
        <v>0</v>
      </c>
      <c r="BL22" s="121" t="n">
        <v>5</v>
      </c>
      <c r="BM22" s="121" t="n">
        <v>29</v>
      </c>
      <c r="BN22" s="122"/>
      <c r="BO22" s="123" t="n">
        <v>40</v>
      </c>
      <c r="BP22" s="123" t="n">
        <v>15</v>
      </c>
      <c r="BQ22" s="123" t="n">
        <v>55</v>
      </c>
      <c r="BR22" s="123" t="n">
        <v>11</v>
      </c>
      <c r="BS22" s="123" t="n">
        <v>44</v>
      </c>
    </row>
    <row r="23" customFormat="false" ht="18.75" hidden="false" customHeight="true" outlineLevel="0" collapsed="false">
      <c r="A23" s="95" t="n">
        <v>21</v>
      </c>
      <c r="B23" s="96" t="s">
        <v>336</v>
      </c>
      <c r="C23" s="96" t="s">
        <v>337</v>
      </c>
      <c r="D23" s="96" t="s">
        <v>338</v>
      </c>
      <c r="E23" s="97" t="s">
        <v>338</v>
      </c>
      <c r="F23" s="98" t="s">
        <v>132</v>
      </c>
      <c r="G23" s="96" t="s">
        <v>218</v>
      </c>
      <c r="H23" s="96" t="s">
        <v>219</v>
      </c>
      <c r="I23" s="99" t="n">
        <v>45590</v>
      </c>
      <c r="J23" s="100" t="s">
        <v>324</v>
      </c>
      <c r="K23" s="96" t="s">
        <v>220</v>
      </c>
      <c r="L23" s="96" t="s">
        <v>71</v>
      </c>
      <c r="M23" s="96" t="s">
        <v>221</v>
      </c>
      <c r="N23" s="101" t="s">
        <v>222</v>
      </c>
      <c r="O23" s="96" t="s">
        <v>223</v>
      </c>
      <c r="P23" s="96" t="s">
        <v>223</v>
      </c>
      <c r="Q23" s="96"/>
      <c r="R23" s="96" t="s">
        <v>223</v>
      </c>
      <c r="S23" s="96" t="s">
        <v>270</v>
      </c>
      <c r="T23" s="96" t="s">
        <v>225</v>
      </c>
      <c r="U23" s="96" t="s">
        <v>339</v>
      </c>
      <c r="V23" s="103" t="s">
        <v>227</v>
      </c>
      <c r="W23" s="104" t="s">
        <v>228</v>
      </c>
      <c r="X23" s="104" t="s">
        <v>228</v>
      </c>
      <c r="Y23" s="105" t="s">
        <v>205</v>
      </c>
      <c r="Z23" s="104" t="s">
        <v>228</v>
      </c>
      <c r="AA23" s="104" t="s">
        <v>228</v>
      </c>
      <c r="AB23" s="104" t="s">
        <v>228</v>
      </c>
      <c r="AC23" s="103" t="s">
        <v>227</v>
      </c>
      <c r="AD23" s="104" t="s">
        <v>228</v>
      </c>
      <c r="AE23" s="104" t="s">
        <v>228</v>
      </c>
      <c r="AF23" s="104" t="s">
        <v>228</v>
      </c>
      <c r="AG23" s="104" t="s">
        <v>228</v>
      </c>
      <c r="AH23" s="104" t="s">
        <v>228</v>
      </c>
      <c r="AI23" s="104" t="s">
        <v>228</v>
      </c>
      <c r="AJ23" s="103" t="s">
        <v>227</v>
      </c>
      <c r="AK23" s="104" t="s">
        <v>228</v>
      </c>
      <c r="AL23" s="104" t="s">
        <v>228</v>
      </c>
      <c r="AM23" s="104" t="s">
        <v>228</v>
      </c>
      <c r="AN23" s="104" t="s">
        <v>228</v>
      </c>
      <c r="AO23" s="104" t="s">
        <v>228</v>
      </c>
      <c r="AP23" s="103" t="s">
        <v>227</v>
      </c>
      <c r="AQ23" s="104" t="s">
        <v>228</v>
      </c>
      <c r="AR23" s="104" t="s">
        <v>228</v>
      </c>
      <c r="AS23" s="104" t="s">
        <v>228</v>
      </c>
      <c r="AT23" s="104" t="s">
        <v>228</v>
      </c>
      <c r="AU23" s="104" t="s">
        <v>228</v>
      </c>
      <c r="AV23" s="104" t="s">
        <v>228</v>
      </c>
      <c r="AW23" s="129" t="s">
        <v>326</v>
      </c>
      <c r="AX23" s="103" t="s">
        <v>227</v>
      </c>
      <c r="AY23" s="104" t="s">
        <v>228</v>
      </c>
      <c r="AZ23" s="104" t="s">
        <v>228</v>
      </c>
      <c r="BA23" s="108" t="n">
        <v>31</v>
      </c>
      <c r="BB23" s="109" t="n">
        <v>24</v>
      </c>
      <c r="BC23" s="109" t="n">
        <v>0</v>
      </c>
      <c r="BD23" s="109" t="n">
        <v>0</v>
      </c>
      <c r="BE23" s="109" t="n">
        <v>1</v>
      </c>
      <c r="BF23" s="109" t="n">
        <v>0</v>
      </c>
      <c r="BG23" s="109" t="n">
        <v>1</v>
      </c>
      <c r="BH23" s="109" t="n">
        <v>0</v>
      </c>
      <c r="BI23" s="109" t="n">
        <v>0</v>
      </c>
      <c r="BJ23" s="109" t="n">
        <v>0</v>
      </c>
      <c r="BK23" s="109" t="n">
        <v>0</v>
      </c>
      <c r="BL23" s="109" t="n">
        <v>5</v>
      </c>
      <c r="BM23" s="109" t="n">
        <v>31</v>
      </c>
      <c r="BN23" s="110"/>
      <c r="BO23" s="111" t="n">
        <v>40</v>
      </c>
      <c r="BP23" s="111" t="n">
        <v>15</v>
      </c>
      <c r="BQ23" s="111" t="n">
        <v>55</v>
      </c>
      <c r="BR23" s="111" t="n">
        <v>11</v>
      </c>
      <c r="BS23" s="111" t="n">
        <v>44</v>
      </c>
    </row>
    <row r="24" customFormat="false" ht="18.75" hidden="false" customHeight="true" outlineLevel="0" collapsed="false">
      <c r="A24" s="112" t="n">
        <v>22</v>
      </c>
      <c r="B24" s="113" t="s">
        <v>340</v>
      </c>
      <c r="C24" s="113" t="s">
        <v>341</v>
      </c>
      <c r="D24" s="113" t="s">
        <v>342</v>
      </c>
      <c r="E24" s="114" t="s">
        <v>343</v>
      </c>
      <c r="F24" s="115" t="s">
        <v>112</v>
      </c>
      <c r="G24" s="113" t="s">
        <v>223</v>
      </c>
      <c r="H24" s="113" t="s">
        <v>219</v>
      </c>
      <c r="I24" s="116" t="n">
        <v>45609</v>
      </c>
      <c r="J24" s="100" t="s">
        <v>324</v>
      </c>
      <c r="K24" s="113" t="s">
        <v>220</v>
      </c>
      <c r="L24" s="113" t="s">
        <v>71</v>
      </c>
      <c r="M24" s="113" t="s">
        <v>318</v>
      </c>
      <c r="N24" s="101" t="s">
        <v>222</v>
      </c>
      <c r="O24" s="113" t="s">
        <v>247</v>
      </c>
      <c r="P24" s="113" t="s">
        <v>223</v>
      </c>
      <c r="Q24" s="113"/>
      <c r="R24" s="113" t="s">
        <v>223</v>
      </c>
      <c r="S24" s="113" t="s">
        <v>223</v>
      </c>
      <c r="T24" s="113" t="s">
        <v>344</v>
      </c>
      <c r="U24" s="113" t="s">
        <v>345</v>
      </c>
      <c r="V24" s="103" t="s">
        <v>227</v>
      </c>
      <c r="W24" s="106" t="s">
        <v>229</v>
      </c>
      <c r="X24" s="106" t="s">
        <v>229</v>
      </c>
      <c r="Y24" s="104" t="s">
        <v>228</v>
      </c>
      <c r="Z24" s="104" t="s">
        <v>228</v>
      </c>
      <c r="AA24" s="104" t="s">
        <v>228</v>
      </c>
      <c r="AB24" s="104" t="s">
        <v>228</v>
      </c>
      <c r="AC24" s="103" t="s">
        <v>227</v>
      </c>
      <c r="AD24" s="104" t="s">
        <v>228</v>
      </c>
      <c r="AE24" s="105" t="s">
        <v>205</v>
      </c>
      <c r="AF24" s="104" t="s">
        <v>228</v>
      </c>
      <c r="AG24" s="104" t="s">
        <v>228</v>
      </c>
      <c r="AH24" s="104" t="s">
        <v>228</v>
      </c>
      <c r="AI24" s="104" t="s">
        <v>228</v>
      </c>
      <c r="AJ24" s="103" t="s">
        <v>227</v>
      </c>
      <c r="AK24" s="104" t="s">
        <v>228</v>
      </c>
      <c r="AL24" s="104" t="s">
        <v>228</v>
      </c>
      <c r="AM24" s="104" t="s">
        <v>228</v>
      </c>
      <c r="AN24" s="104" t="s">
        <v>228</v>
      </c>
      <c r="AO24" s="104" t="s">
        <v>228</v>
      </c>
      <c r="AP24" s="106" t="s">
        <v>229</v>
      </c>
      <c r="AQ24" s="103" t="s">
        <v>227</v>
      </c>
      <c r="AR24" s="104" t="s">
        <v>228</v>
      </c>
      <c r="AS24" s="104" t="s">
        <v>228</v>
      </c>
      <c r="AT24" s="104" t="s">
        <v>228</v>
      </c>
      <c r="AU24" s="104" t="s">
        <v>228</v>
      </c>
      <c r="AV24" s="104" t="s">
        <v>228</v>
      </c>
      <c r="AW24" s="104" t="s">
        <v>228</v>
      </c>
      <c r="AX24" s="103" t="s">
        <v>227</v>
      </c>
      <c r="AY24" s="104" t="s">
        <v>228</v>
      </c>
      <c r="AZ24" s="104" t="s">
        <v>228</v>
      </c>
      <c r="BA24" s="120" t="n">
        <v>31</v>
      </c>
      <c r="BB24" s="121" t="n">
        <v>22</v>
      </c>
      <c r="BC24" s="121" t="n">
        <v>0</v>
      </c>
      <c r="BD24" s="121" t="n">
        <v>0</v>
      </c>
      <c r="BE24" s="121" t="n">
        <v>0</v>
      </c>
      <c r="BF24" s="121" t="n">
        <v>3</v>
      </c>
      <c r="BG24" s="121" t="n">
        <v>1</v>
      </c>
      <c r="BH24" s="121" t="n">
        <v>0</v>
      </c>
      <c r="BI24" s="121" t="n">
        <v>0</v>
      </c>
      <c r="BJ24" s="121" t="n">
        <v>0</v>
      </c>
      <c r="BK24" s="121" t="n">
        <v>0</v>
      </c>
      <c r="BL24" s="121" t="n">
        <v>5</v>
      </c>
      <c r="BM24" s="121" t="n">
        <v>31</v>
      </c>
      <c r="BN24" s="122"/>
      <c r="BO24" s="123" t="n">
        <v>40</v>
      </c>
      <c r="BP24" s="123" t="n">
        <v>15</v>
      </c>
      <c r="BQ24" s="123" t="n">
        <v>55</v>
      </c>
      <c r="BR24" s="123" t="n">
        <v>11</v>
      </c>
      <c r="BS24" s="123" t="n">
        <v>44</v>
      </c>
    </row>
    <row r="25" customFormat="false" ht="18.75" hidden="false" customHeight="true" outlineLevel="0" collapsed="false">
      <c r="A25" s="95" t="n">
        <v>23</v>
      </c>
      <c r="B25" s="96" t="s">
        <v>346</v>
      </c>
      <c r="C25" s="96" t="s">
        <v>347</v>
      </c>
      <c r="D25" s="96" t="s">
        <v>348</v>
      </c>
      <c r="E25" s="97" t="s">
        <v>348</v>
      </c>
      <c r="F25" s="98" t="s">
        <v>104</v>
      </c>
      <c r="G25" s="96" t="s">
        <v>218</v>
      </c>
      <c r="H25" s="96" t="s">
        <v>219</v>
      </c>
      <c r="I25" s="99" t="n">
        <v>45567</v>
      </c>
      <c r="J25" s="100" t="s">
        <v>324</v>
      </c>
      <c r="K25" s="96" t="s">
        <v>220</v>
      </c>
      <c r="L25" s="96" t="s">
        <v>71</v>
      </c>
      <c r="M25" s="96" t="s">
        <v>221</v>
      </c>
      <c r="N25" s="101" t="s">
        <v>222</v>
      </c>
      <c r="O25" s="96" t="s">
        <v>247</v>
      </c>
      <c r="P25" s="96" t="s">
        <v>223</v>
      </c>
      <c r="Q25" s="96"/>
      <c r="R25" s="96" t="s">
        <v>223</v>
      </c>
      <c r="S25" s="96" t="s">
        <v>247</v>
      </c>
      <c r="T25" s="96" t="s">
        <v>225</v>
      </c>
      <c r="U25" s="96" t="s">
        <v>349</v>
      </c>
      <c r="V25" s="104" t="s">
        <v>228</v>
      </c>
      <c r="W25" s="104" t="s">
        <v>228</v>
      </c>
      <c r="X25" s="104" t="s">
        <v>228</v>
      </c>
      <c r="Y25" s="105" t="s">
        <v>205</v>
      </c>
      <c r="Z25" s="104" t="s">
        <v>228</v>
      </c>
      <c r="AA25" s="104" t="s">
        <v>228</v>
      </c>
      <c r="AB25" s="104" t="s">
        <v>228</v>
      </c>
      <c r="AC25" s="103" t="s">
        <v>227</v>
      </c>
      <c r="AD25" s="125" t="s">
        <v>201</v>
      </c>
      <c r="AE25" s="104" t="s">
        <v>228</v>
      </c>
      <c r="AF25" s="104" t="s">
        <v>228</v>
      </c>
      <c r="AG25" s="104" t="s">
        <v>228</v>
      </c>
      <c r="AH25" s="104" t="s">
        <v>228</v>
      </c>
      <c r="AI25" s="125" t="s">
        <v>201</v>
      </c>
      <c r="AJ25" s="103" t="s">
        <v>227</v>
      </c>
      <c r="AK25" s="104" t="s">
        <v>228</v>
      </c>
      <c r="AL25" s="104" t="s">
        <v>228</v>
      </c>
      <c r="AM25" s="104" t="s">
        <v>228</v>
      </c>
      <c r="AN25" s="104" t="s">
        <v>228</v>
      </c>
      <c r="AO25" s="104" t="s">
        <v>228</v>
      </c>
      <c r="AP25" s="104" t="s">
        <v>228</v>
      </c>
      <c r="AQ25" s="103" t="s">
        <v>227</v>
      </c>
      <c r="AR25" s="104" t="s">
        <v>228</v>
      </c>
      <c r="AS25" s="104" t="s">
        <v>228</v>
      </c>
      <c r="AT25" s="104" t="s">
        <v>228</v>
      </c>
      <c r="AU25" s="104" t="s">
        <v>228</v>
      </c>
      <c r="AV25" s="104" t="s">
        <v>228</v>
      </c>
      <c r="AW25" s="129" t="s">
        <v>326</v>
      </c>
      <c r="AX25" s="103" t="s">
        <v>227</v>
      </c>
      <c r="AY25" s="104" t="s">
        <v>228</v>
      </c>
      <c r="AZ25" s="104" t="s">
        <v>228</v>
      </c>
      <c r="BA25" s="108" t="n">
        <v>31</v>
      </c>
      <c r="BB25" s="109" t="n">
        <v>23</v>
      </c>
      <c r="BC25" s="109" t="n">
        <v>2</v>
      </c>
      <c r="BD25" s="109" t="n">
        <v>0</v>
      </c>
      <c r="BE25" s="109" t="n">
        <v>1</v>
      </c>
      <c r="BF25" s="109" t="n">
        <v>0</v>
      </c>
      <c r="BG25" s="109" t="n">
        <v>1</v>
      </c>
      <c r="BH25" s="109" t="n">
        <v>0</v>
      </c>
      <c r="BI25" s="109" t="n">
        <v>0</v>
      </c>
      <c r="BJ25" s="109" t="n">
        <v>0</v>
      </c>
      <c r="BK25" s="109" t="n">
        <v>0</v>
      </c>
      <c r="BL25" s="109" t="n">
        <v>4</v>
      </c>
      <c r="BM25" s="109" t="n">
        <v>30</v>
      </c>
      <c r="BN25" s="110"/>
      <c r="BO25" s="111" t="n">
        <v>40</v>
      </c>
      <c r="BP25" s="111" t="n">
        <v>15</v>
      </c>
      <c r="BQ25" s="111" t="n">
        <v>55</v>
      </c>
      <c r="BR25" s="111" t="n">
        <v>11</v>
      </c>
      <c r="BS25" s="111" t="n">
        <v>44</v>
      </c>
    </row>
    <row r="26" customFormat="false" ht="18.75" hidden="false" customHeight="true" outlineLevel="0" collapsed="false">
      <c r="A26" s="112" t="n">
        <v>24</v>
      </c>
      <c r="B26" s="113" t="s">
        <v>350</v>
      </c>
      <c r="C26" s="113" t="s">
        <v>351</v>
      </c>
      <c r="D26" s="113" t="s">
        <v>352</v>
      </c>
      <c r="E26" s="114" t="s">
        <v>353</v>
      </c>
      <c r="F26" s="115" t="s">
        <v>120</v>
      </c>
      <c r="G26" s="113" t="s">
        <v>218</v>
      </c>
      <c r="H26" s="113" t="s">
        <v>282</v>
      </c>
      <c r="I26" s="116" t="n">
        <v>45791</v>
      </c>
      <c r="J26" s="100" t="s">
        <v>324</v>
      </c>
      <c r="K26" s="113" t="s">
        <v>253</v>
      </c>
      <c r="L26" s="113" t="s">
        <v>71</v>
      </c>
      <c r="M26" s="113" t="s">
        <v>254</v>
      </c>
      <c r="N26" s="101" t="s">
        <v>222</v>
      </c>
      <c r="O26" s="113" t="s">
        <v>247</v>
      </c>
      <c r="P26" s="113" t="s">
        <v>223</v>
      </c>
      <c r="Q26" s="113"/>
      <c r="R26" s="113" t="s">
        <v>223</v>
      </c>
      <c r="S26" s="113" t="s">
        <v>223</v>
      </c>
      <c r="T26" s="113" t="s">
        <v>241</v>
      </c>
      <c r="U26" s="113" t="s">
        <v>354</v>
      </c>
      <c r="V26" s="103" t="s">
        <v>227</v>
      </c>
      <c r="W26" s="104" t="s">
        <v>228</v>
      </c>
      <c r="X26" s="104" t="s">
        <v>228</v>
      </c>
      <c r="Y26" s="104" t="s">
        <v>228</v>
      </c>
      <c r="Z26" s="104" t="s">
        <v>228</v>
      </c>
      <c r="AA26" s="104" t="s">
        <v>228</v>
      </c>
      <c r="AB26" s="104" t="s">
        <v>228</v>
      </c>
      <c r="AC26" s="103" t="s">
        <v>227</v>
      </c>
      <c r="AD26" s="104" t="s">
        <v>228</v>
      </c>
      <c r="AE26" s="104" t="s">
        <v>228</v>
      </c>
      <c r="AF26" s="104" t="s">
        <v>228</v>
      </c>
      <c r="AG26" s="104" t="s">
        <v>228</v>
      </c>
      <c r="AH26" s="104" t="s">
        <v>228</v>
      </c>
      <c r="AI26" s="104" t="s">
        <v>228</v>
      </c>
      <c r="AJ26" s="103" t="s">
        <v>227</v>
      </c>
      <c r="AK26" s="104" t="s">
        <v>228</v>
      </c>
      <c r="AL26" s="104" t="s">
        <v>228</v>
      </c>
      <c r="AM26" s="104" t="s">
        <v>228</v>
      </c>
      <c r="AN26" s="104" t="s">
        <v>228</v>
      </c>
      <c r="AO26" s="104" t="s">
        <v>228</v>
      </c>
      <c r="AP26" s="129" t="s">
        <v>326</v>
      </c>
      <c r="AQ26" s="103" t="s">
        <v>227</v>
      </c>
      <c r="AR26" s="104" t="s">
        <v>228</v>
      </c>
      <c r="AS26" s="104" t="s">
        <v>228</v>
      </c>
      <c r="AT26" s="104" t="s">
        <v>228</v>
      </c>
      <c r="AU26" s="106" t="s">
        <v>229</v>
      </c>
      <c r="AV26" s="104" t="s">
        <v>228</v>
      </c>
      <c r="AW26" s="104" t="s">
        <v>228</v>
      </c>
      <c r="AX26" s="103" t="s">
        <v>227</v>
      </c>
      <c r="AY26" s="104" t="s">
        <v>228</v>
      </c>
      <c r="AZ26" s="104" t="s">
        <v>228</v>
      </c>
      <c r="BA26" s="120" t="n">
        <v>31</v>
      </c>
      <c r="BB26" s="121" t="n">
        <v>24</v>
      </c>
      <c r="BC26" s="121" t="n">
        <v>0</v>
      </c>
      <c r="BD26" s="121" t="n">
        <v>0</v>
      </c>
      <c r="BE26" s="121" t="n">
        <v>1</v>
      </c>
      <c r="BF26" s="121" t="n">
        <v>1</v>
      </c>
      <c r="BG26" s="121" t="n">
        <v>0</v>
      </c>
      <c r="BH26" s="121" t="n">
        <v>0</v>
      </c>
      <c r="BI26" s="121" t="n">
        <v>0</v>
      </c>
      <c r="BJ26" s="121" t="n">
        <v>0</v>
      </c>
      <c r="BK26" s="121" t="n">
        <v>0</v>
      </c>
      <c r="BL26" s="121" t="n">
        <v>5</v>
      </c>
      <c r="BM26" s="121" t="n">
        <v>31</v>
      </c>
      <c r="BN26" s="122"/>
      <c r="BO26" s="123" t="n">
        <v>40</v>
      </c>
      <c r="BP26" s="123" t="n">
        <v>15</v>
      </c>
      <c r="BQ26" s="123" t="n">
        <v>55</v>
      </c>
      <c r="BR26" s="123" t="n">
        <v>11</v>
      </c>
      <c r="BS26" s="123" t="n">
        <v>44</v>
      </c>
    </row>
    <row r="27" customFormat="false" ht="18.75" hidden="false" customHeight="true" outlineLevel="0" collapsed="false">
      <c r="A27" s="95" t="n">
        <v>25</v>
      </c>
      <c r="B27" s="96" t="s">
        <v>355</v>
      </c>
      <c r="C27" s="96" t="s">
        <v>356</v>
      </c>
      <c r="D27" s="96" t="s">
        <v>357</v>
      </c>
      <c r="E27" s="97" t="s">
        <v>357</v>
      </c>
      <c r="F27" s="98" t="s">
        <v>92</v>
      </c>
      <c r="G27" s="96" t="s">
        <v>218</v>
      </c>
      <c r="H27" s="96" t="s">
        <v>219</v>
      </c>
      <c r="I27" s="99" t="n">
        <v>45610</v>
      </c>
      <c r="J27" s="100" t="s">
        <v>324</v>
      </c>
      <c r="K27" s="96" t="s">
        <v>220</v>
      </c>
      <c r="L27" s="96" t="s">
        <v>71</v>
      </c>
      <c r="M27" s="96" t="s">
        <v>254</v>
      </c>
      <c r="N27" s="101" t="s">
        <v>222</v>
      </c>
      <c r="O27" s="96" t="s">
        <v>247</v>
      </c>
      <c r="P27" s="96" t="s">
        <v>223</v>
      </c>
      <c r="Q27" s="96"/>
      <c r="R27" s="96" t="s">
        <v>223</v>
      </c>
      <c r="S27" s="96" t="s">
        <v>223</v>
      </c>
      <c r="T27" s="96" t="s">
        <v>225</v>
      </c>
      <c r="U27" s="96" t="s">
        <v>358</v>
      </c>
      <c r="V27" s="103" t="s">
        <v>227</v>
      </c>
      <c r="W27" s="104" t="s">
        <v>228</v>
      </c>
      <c r="X27" s="104" t="s">
        <v>228</v>
      </c>
      <c r="Y27" s="105" t="s">
        <v>205</v>
      </c>
      <c r="Z27" s="104" t="s">
        <v>228</v>
      </c>
      <c r="AA27" s="104" t="s">
        <v>228</v>
      </c>
      <c r="AB27" s="103" t="s">
        <v>227</v>
      </c>
      <c r="AC27" s="104" t="s">
        <v>228</v>
      </c>
      <c r="AD27" s="104" t="s">
        <v>228</v>
      </c>
      <c r="AE27" s="104" t="s">
        <v>228</v>
      </c>
      <c r="AF27" s="104" t="s">
        <v>228</v>
      </c>
      <c r="AG27" s="104" t="s">
        <v>228</v>
      </c>
      <c r="AH27" s="125" t="s">
        <v>201</v>
      </c>
      <c r="AI27" s="104" t="s">
        <v>228</v>
      </c>
      <c r="AJ27" s="103" t="s">
        <v>227</v>
      </c>
      <c r="AK27" s="104" t="s">
        <v>228</v>
      </c>
      <c r="AL27" s="104" t="s">
        <v>228</v>
      </c>
      <c r="AM27" s="104" t="s">
        <v>228</v>
      </c>
      <c r="AN27" s="104" t="s">
        <v>228</v>
      </c>
      <c r="AO27" s="104" t="s">
        <v>228</v>
      </c>
      <c r="AP27" s="129" t="s">
        <v>326</v>
      </c>
      <c r="AQ27" s="103" t="s">
        <v>227</v>
      </c>
      <c r="AR27" s="104" t="s">
        <v>228</v>
      </c>
      <c r="AS27" s="104" t="s">
        <v>228</v>
      </c>
      <c r="AT27" s="104" t="s">
        <v>228</v>
      </c>
      <c r="AU27" s="104" t="s">
        <v>228</v>
      </c>
      <c r="AV27" s="104" t="s">
        <v>228</v>
      </c>
      <c r="AW27" s="103" t="s">
        <v>227</v>
      </c>
      <c r="AX27" s="104" t="s">
        <v>228</v>
      </c>
      <c r="AY27" s="104" t="s">
        <v>228</v>
      </c>
      <c r="AZ27" s="124" t="s">
        <v>202</v>
      </c>
      <c r="BA27" s="108" t="n">
        <v>31</v>
      </c>
      <c r="BB27" s="109" t="n">
        <v>22</v>
      </c>
      <c r="BC27" s="109" t="n">
        <v>1</v>
      </c>
      <c r="BD27" s="109" t="n">
        <v>1</v>
      </c>
      <c r="BE27" s="109" t="n">
        <v>1</v>
      </c>
      <c r="BF27" s="109" t="n">
        <v>0</v>
      </c>
      <c r="BG27" s="109" t="n">
        <v>1</v>
      </c>
      <c r="BH27" s="109" t="n">
        <v>0</v>
      </c>
      <c r="BI27" s="109" t="n">
        <v>0</v>
      </c>
      <c r="BJ27" s="109" t="n">
        <v>0</v>
      </c>
      <c r="BK27" s="109" t="n">
        <v>0</v>
      </c>
      <c r="BL27" s="109" t="n">
        <v>5</v>
      </c>
      <c r="BM27" s="109" t="n">
        <v>29.5</v>
      </c>
      <c r="BN27" s="110"/>
      <c r="BO27" s="111" t="n">
        <v>40</v>
      </c>
      <c r="BP27" s="111" t="n">
        <v>15</v>
      </c>
      <c r="BQ27" s="111" t="n">
        <v>55</v>
      </c>
      <c r="BR27" s="111" t="n">
        <v>11</v>
      </c>
      <c r="BS27" s="111" t="n">
        <v>44</v>
      </c>
    </row>
    <row r="28" customFormat="false" ht="18.75" hidden="false" customHeight="true" outlineLevel="0" collapsed="false">
      <c r="A28" s="112" t="n">
        <v>26</v>
      </c>
      <c r="B28" s="113" t="s">
        <v>359</v>
      </c>
      <c r="C28" s="113" t="s">
        <v>360</v>
      </c>
      <c r="D28" s="113" t="s">
        <v>361</v>
      </c>
      <c r="E28" s="114" t="s">
        <v>362</v>
      </c>
      <c r="F28" s="115" t="s">
        <v>98</v>
      </c>
      <c r="G28" s="113" t="s">
        <v>218</v>
      </c>
      <c r="H28" s="113" t="s">
        <v>282</v>
      </c>
      <c r="I28" s="116" t="n">
        <v>45770</v>
      </c>
      <c r="J28" s="100" t="s">
        <v>324</v>
      </c>
      <c r="K28" s="113" t="s">
        <v>220</v>
      </c>
      <c r="L28" s="113" t="s">
        <v>71</v>
      </c>
      <c r="M28" s="113" t="s">
        <v>254</v>
      </c>
      <c r="N28" s="101" t="s">
        <v>222</v>
      </c>
      <c r="O28" s="113" t="s">
        <v>247</v>
      </c>
      <c r="P28" s="113" t="s">
        <v>287</v>
      </c>
      <c r="Q28" s="113"/>
      <c r="R28" s="113" t="s">
        <v>223</v>
      </c>
      <c r="S28" s="113" t="s">
        <v>223</v>
      </c>
      <c r="T28" s="113" t="s">
        <v>363</v>
      </c>
      <c r="U28" s="113" t="s">
        <v>364</v>
      </c>
      <c r="V28" s="103" t="s">
        <v>227</v>
      </c>
      <c r="W28" s="104" t="s">
        <v>228</v>
      </c>
      <c r="X28" s="104" t="s">
        <v>228</v>
      </c>
      <c r="Y28" s="104" t="s">
        <v>228</v>
      </c>
      <c r="Z28" s="104" t="s">
        <v>228</v>
      </c>
      <c r="AA28" s="104" t="s">
        <v>228</v>
      </c>
      <c r="AB28" s="104" t="s">
        <v>228</v>
      </c>
      <c r="AC28" s="103" t="s">
        <v>227</v>
      </c>
      <c r="AD28" s="104" t="s">
        <v>228</v>
      </c>
      <c r="AE28" s="104" t="s">
        <v>228</v>
      </c>
      <c r="AF28" s="104" t="s">
        <v>228</v>
      </c>
      <c r="AG28" s="104" t="s">
        <v>228</v>
      </c>
      <c r="AH28" s="104" t="s">
        <v>228</v>
      </c>
      <c r="AI28" s="103" t="s">
        <v>227</v>
      </c>
      <c r="AJ28" s="104" t="s">
        <v>228</v>
      </c>
      <c r="AK28" s="104" t="s">
        <v>228</v>
      </c>
      <c r="AL28" s="104" t="s">
        <v>228</v>
      </c>
      <c r="AM28" s="104" t="s">
        <v>228</v>
      </c>
      <c r="AN28" s="104" t="s">
        <v>228</v>
      </c>
      <c r="AO28" s="104" t="s">
        <v>228</v>
      </c>
      <c r="AP28" s="129" t="s">
        <v>326</v>
      </c>
      <c r="AQ28" s="103" t="s">
        <v>227</v>
      </c>
      <c r="AR28" s="105" t="s">
        <v>205</v>
      </c>
      <c r="AS28" s="104" t="s">
        <v>228</v>
      </c>
      <c r="AT28" s="104" t="s">
        <v>228</v>
      </c>
      <c r="AU28" s="104" t="s">
        <v>228</v>
      </c>
      <c r="AV28" s="104" t="s">
        <v>228</v>
      </c>
      <c r="AW28" s="104" t="s">
        <v>228</v>
      </c>
      <c r="AX28" s="103" t="s">
        <v>227</v>
      </c>
      <c r="AY28" s="104" t="s">
        <v>228</v>
      </c>
      <c r="AZ28" s="104" t="s">
        <v>228</v>
      </c>
      <c r="BA28" s="120" t="n">
        <v>31</v>
      </c>
      <c r="BB28" s="121" t="n">
        <v>24</v>
      </c>
      <c r="BC28" s="121" t="n">
        <v>0</v>
      </c>
      <c r="BD28" s="121" t="n">
        <v>0</v>
      </c>
      <c r="BE28" s="121" t="n">
        <v>1</v>
      </c>
      <c r="BF28" s="121" t="n">
        <v>0</v>
      </c>
      <c r="BG28" s="121" t="n">
        <v>1</v>
      </c>
      <c r="BH28" s="121" t="n">
        <v>0</v>
      </c>
      <c r="BI28" s="121" t="n">
        <v>0</v>
      </c>
      <c r="BJ28" s="121" t="n">
        <v>0</v>
      </c>
      <c r="BK28" s="121" t="n">
        <v>0</v>
      </c>
      <c r="BL28" s="121" t="n">
        <v>5</v>
      </c>
      <c r="BM28" s="121" t="n">
        <v>31</v>
      </c>
      <c r="BN28" s="122"/>
      <c r="BO28" s="123" t="n">
        <v>29</v>
      </c>
      <c r="BP28" s="123" t="n">
        <v>11</v>
      </c>
      <c r="BQ28" s="123" t="n">
        <v>40</v>
      </c>
      <c r="BR28" s="123" t="n">
        <v>8</v>
      </c>
      <c r="BS28" s="123" t="n">
        <v>32</v>
      </c>
    </row>
    <row r="29" customFormat="false" ht="18.75" hidden="false" customHeight="true" outlineLevel="0" collapsed="false">
      <c r="A29" s="95" t="n">
        <v>27</v>
      </c>
      <c r="B29" s="96" t="s">
        <v>365</v>
      </c>
      <c r="C29" s="96" t="s">
        <v>366</v>
      </c>
      <c r="D29" s="96" t="s">
        <v>124</v>
      </c>
      <c r="E29" s="97" t="s">
        <v>367</v>
      </c>
      <c r="F29" s="98" t="s">
        <v>124</v>
      </c>
      <c r="G29" s="96" t="s">
        <v>218</v>
      </c>
      <c r="H29" s="96" t="s">
        <v>219</v>
      </c>
      <c r="I29" s="99" t="n">
        <v>45867</v>
      </c>
      <c r="J29" s="100" t="s">
        <v>324</v>
      </c>
      <c r="K29" s="96" t="s">
        <v>220</v>
      </c>
      <c r="L29" s="96" t="s">
        <v>71</v>
      </c>
      <c r="M29" s="96" t="s">
        <v>254</v>
      </c>
      <c r="N29" s="101" t="s">
        <v>222</v>
      </c>
      <c r="O29" s="96" t="s">
        <v>270</v>
      </c>
      <c r="P29" s="96" t="s">
        <v>223</v>
      </c>
      <c r="Q29" s="96"/>
      <c r="R29" s="96" t="s">
        <v>223</v>
      </c>
      <c r="S29" s="96" t="s">
        <v>223</v>
      </c>
      <c r="T29" s="96" t="s">
        <v>368</v>
      </c>
      <c r="U29" s="96" t="s">
        <v>369</v>
      </c>
      <c r="V29" s="104" t="s">
        <v>228</v>
      </c>
      <c r="W29" s="104" t="s">
        <v>228</v>
      </c>
      <c r="X29" s="104" t="s">
        <v>228</v>
      </c>
      <c r="Y29" s="105" t="s">
        <v>205</v>
      </c>
      <c r="Z29" s="104" t="s">
        <v>228</v>
      </c>
      <c r="AA29" s="104" t="s">
        <v>228</v>
      </c>
      <c r="AB29" s="104" t="s">
        <v>228</v>
      </c>
      <c r="AC29" s="103" t="s">
        <v>227</v>
      </c>
      <c r="AD29" s="104" t="s">
        <v>228</v>
      </c>
      <c r="AE29" s="104" t="s">
        <v>228</v>
      </c>
      <c r="AF29" s="104" t="s">
        <v>228</v>
      </c>
      <c r="AG29" s="104" t="s">
        <v>228</v>
      </c>
      <c r="AH29" s="104" t="s">
        <v>228</v>
      </c>
      <c r="AI29" s="104" t="s">
        <v>228</v>
      </c>
      <c r="AJ29" s="103" t="s">
        <v>227</v>
      </c>
      <c r="AK29" s="104" t="s">
        <v>228</v>
      </c>
      <c r="AL29" s="104" t="s">
        <v>228</v>
      </c>
      <c r="AM29" s="104" t="s">
        <v>228</v>
      </c>
      <c r="AN29" s="104" t="s">
        <v>228</v>
      </c>
      <c r="AO29" s="104" t="s">
        <v>228</v>
      </c>
      <c r="AP29" s="104" t="s">
        <v>228</v>
      </c>
      <c r="AQ29" s="103" t="s">
        <v>227</v>
      </c>
      <c r="AR29" s="104" t="s">
        <v>228</v>
      </c>
      <c r="AS29" s="104" t="s">
        <v>228</v>
      </c>
      <c r="AT29" s="104" t="s">
        <v>228</v>
      </c>
      <c r="AU29" s="106" t="s">
        <v>229</v>
      </c>
      <c r="AV29" s="125" t="s">
        <v>201</v>
      </c>
      <c r="AW29" s="104" t="s">
        <v>228</v>
      </c>
      <c r="AX29" s="103" t="s">
        <v>227</v>
      </c>
      <c r="AY29" s="104" t="s">
        <v>228</v>
      </c>
      <c r="AZ29" s="104" t="s">
        <v>228</v>
      </c>
      <c r="BA29" s="108" t="n">
        <v>31</v>
      </c>
      <c r="BB29" s="109" t="n">
        <v>24</v>
      </c>
      <c r="BC29" s="109" t="n">
        <v>1</v>
      </c>
      <c r="BD29" s="109" t="n">
        <v>0</v>
      </c>
      <c r="BE29" s="109" t="n">
        <v>0</v>
      </c>
      <c r="BF29" s="109" t="n">
        <v>1</v>
      </c>
      <c r="BG29" s="109" t="n">
        <v>1</v>
      </c>
      <c r="BH29" s="109" t="n">
        <v>0</v>
      </c>
      <c r="BI29" s="109" t="n">
        <v>0</v>
      </c>
      <c r="BJ29" s="109" t="n">
        <v>0</v>
      </c>
      <c r="BK29" s="109" t="n">
        <v>0</v>
      </c>
      <c r="BL29" s="109" t="n">
        <v>4</v>
      </c>
      <c r="BM29" s="109" t="n">
        <v>30.5</v>
      </c>
      <c r="BN29" s="110"/>
      <c r="BO29" s="111" t="n">
        <v>29</v>
      </c>
      <c r="BP29" s="111" t="n">
        <v>11</v>
      </c>
      <c r="BQ29" s="111" t="n">
        <v>40</v>
      </c>
      <c r="BR29" s="111" t="n">
        <v>8</v>
      </c>
      <c r="BS29" s="111" t="n">
        <v>32</v>
      </c>
    </row>
    <row r="30" customFormat="false" ht="18.75" hidden="false" customHeight="true" outlineLevel="0" collapsed="false">
      <c r="A30" s="112" t="n">
        <v>28</v>
      </c>
      <c r="B30" s="113" t="s">
        <v>370</v>
      </c>
      <c r="C30" s="113" t="s">
        <v>70</v>
      </c>
      <c r="D30" s="113" t="s">
        <v>70</v>
      </c>
      <c r="E30" s="114" t="s">
        <v>70</v>
      </c>
      <c r="F30" s="115" t="s">
        <v>70</v>
      </c>
      <c r="G30" s="113" t="s">
        <v>218</v>
      </c>
      <c r="H30" s="113" t="s">
        <v>219</v>
      </c>
      <c r="I30" s="116" t="n">
        <v>46053</v>
      </c>
      <c r="J30" s="100" t="s">
        <v>324</v>
      </c>
      <c r="K30" s="113" t="s">
        <v>220</v>
      </c>
      <c r="L30" s="113" t="s">
        <v>71</v>
      </c>
      <c r="M30" s="113" t="s">
        <v>254</v>
      </c>
      <c r="N30" s="101" t="s">
        <v>222</v>
      </c>
      <c r="O30" s="113" t="s">
        <v>247</v>
      </c>
      <c r="P30" s="113" t="s">
        <v>223</v>
      </c>
      <c r="Q30" s="113"/>
      <c r="R30" s="113" t="s">
        <v>223</v>
      </c>
      <c r="S30" s="113" t="s">
        <v>270</v>
      </c>
      <c r="T30" s="113"/>
      <c r="U30" s="113"/>
      <c r="V30" s="104" t="s">
        <v>228</v>
      </c>
      <c r="W30" s="124" t="s">
        <v>256</v>
      </c>
      <c r="X30" s="104" t="s">
        <v>228</v>
      </c>
      <c r="Y30" s="105" t="s">
        <v>205</v>
      </c>
      <c r="Z30" s="104" t="s">
        <v>228</v>
      </c>
      <c r="AA30" s="104" t="s">
        <v>228</v>
      </c>
      <c r="AB30" s="103" t="s">
        <v>227</v>
      </c>
      <c r="AC30" s="104" t="s">
        <v>228</v>
      </c>
      <c r="AD30" s="104" t="s">
        <v>228</v>
      </c>
      <c r="AE30" s="104" t="s">
        <v>228</v>
      </c>
      <c r="AF30" s="104" t="s">
        <v>228</v>
      </c>
      <c r="AG30" s="104" t="s">
        <v>228</v>
      </c>
      <c r="AH30" s="104" t="s">
        <v>228</v>
      </c>
      <c r="AI30" s="103" t="s">
        <v>227</v>
      </c>
      <c r="AJ30" s="104" t="s">
        <v>228</v>
      </c>
      <c r="AK30" s="104" t="s">
        <v>228</v>
      </c>
      <c r="AL30" s="124" t="s">
        <v>202</v>
      </c>
      <c r="AM30" s="104" t="s">
        <v>228</v>
      </c>
      <c r="AN30" s="104" t="s">
        <v>228</v>
      </c>
      <c r="AO30" s="104" t="s">
        <v>228</v>
      </c>
      <c r="AP30" s="104" t="s">
        <v>228</v>
      </c>
      <c r="AQ30" s="103" t="s">
        <v>227</v>
      </c>
      <c r="AR30" s="104" t="s">
        <v>228</v>
      </c>
      <c r="AS30" s="104" t="s">
        <v>228</v>
      </c>
      <c r="AT30" s="124" t="s">
        <v>202</v>
      </c>
      <c r="AU30" s="106" t="s">
        <v>229</v>
      </c>
      <c r="AV30" s="104" t="s">
        <v>228</v>
      </c>
      <c r="AW30" s="103" t="s">
        <v>227</v>
      </c>
      <c r="AX30" s="104" t="s">
        <v>228</v>
      </c>
      <c r="AY30" s="104" t="s">
        <v>228</v>
      </c>
      <c r="AZ30" s="104" t="s">
        <v>228</v>
      </c>
      <c r="BA30" s="120" t="n">
        <v>31</v>
      </c>
      <c r="BB30" s="121" t="n">
        <v>22</v>
      </c>
      <c r="BC30" s="121" t="n">
        <v>0</v>
      </c>
      <c r="BD30" s="121" t="n">
        <v>2</v>
      </c>
      <c r="BE30" s="121" t="n">
        <v>0</v>
      </c>
      <c r="BF30" s="121" t="n">
        <v>1</v>
      </c>
      <c r="BG30" s="121" t="n">
        <v>1</v>
      </c>
      <c r="BH30" s="121" t="n">
        <v>0</v>
      </c>
      <c r="BI30" s="121" t="n">
        <v>0</v>
      </c>
      <c r="BJ30" s="121" t="n">
        <v>0</v>
      </c>
      <c r="BK30" s="121" t="n">
        <v>0</v>
      </c>
      <c r="BL30" s="121" t="n">
        <v>4</v>
      </c>
      <c r="BM30" s="121" t="n">
        <v>28</v>
      </c>
      <c r="BN30" s="122"/>
      <c r="BO30" s="123" t="n">
        <v>29</v>
      </c>
      <c r="BP30" s="123" t="n">
        <v>8</v>
      </c>
      <c r="BQ30" s="123" t="n">
        <v>35</v>
      </c>
      <c r="BR30" s="123" t="n">
        <v>6</v>
      </c>
      <c r="BS30" s="123" t="n">
        <v>28</v>
      </c>
    </row>
    <row r="31" customFormat="false" ht="18.75" hidden="false" customHeight="true" outlineLevel="0" collapsed="false">
      <c r="A31" s="95" t="n">
        <v>29</v>
      </c>
      <c r="B31" s="96" t="s">
        <v>371</v>
      </c>
      <c r="C31" s="96" t="s">
        <v>372</v>
      </c>
      <c r="D31" s="96" t="s">
        <v>58</v>
      </c>
      <c r="E31" s="97" t="s">
        <v>373</v>
      </c>
      <c r="F31" s="98" t="s">
        <v>136</v>
      </c>
      <c r="G31" s="96" t="s">
        <v>223</v>
      </c>
      <c r="H31" s="96" t="s">
        <v>219</v>
      </c>
      <c r="I31" s="99" t="n">
        <v>45693</v>
      </c>
      <c r="J31" s="100" t="s">
        <v>324</v>
      </c>
      <c r="K31" s="96" t="s">
        <v>220</v>
      </c>
      <c r="L31" s="96" t="s">
        <v>71</v>
      </c>
      <c r="M31" s="96" t="s">
        <v>318</v>
      </c>
      <c r="N31" s="101" t="s">
        <v>222</v>
      </c>
      <c r="O31" s="96" t="s">
        <v>247</v>
      </c>
      <c r="P31" s="96" t="s">
        <v>223</v>
      </c>
      <c r="Q31" s="96"/>
      <c r="R31" s="96" t="s">
        <v>223</v>
      </c>
      <c r="S31" s="96" t="s">
        <v>223</v>
      </c>
      <c r="T31" s="96" t="s">
        <v>374</v>
      </c>
      <c r="U31" s="96" t="s">
        <v>375</v>
      </c>
      <c r="V31" s="103" t="s">
        <v>227</v>
      </c>
      <c r="W31" s="124" t="s">
        <v>202</v>
      </c>
      <c r="X31" s="124" t="s">
        <v>202</v>
      </c>
      <c r="Y31" s="104" t="s">
        <v>228</v>
      </c>
      <c r="Z31" s="104" t="s">
        <v>228</v>
      </c>
      <c r="AA31" s="104" t="s">
        <v>228</v>
      </c>
      <c r="AB31" s="104" t="s">
        <v>228</v>
      </c>
      <c r="AC31" s="103" t="s">
        <v>227</v>
      </c>
      <c r="AD31" s="104" t="s">
        <v>228</v>
      </c>
      <c r="AE31" s="104" t="s">
        <v>228</v>
      </c>
      <c r="AF31" s="104" t="s">
        <v>228</v>
      </c>
      <c r="AG31" s="124" t="s">
        <v>202</v>
      </c>
      <c r="AH31" s="104" t="s">
        <v>228</v>
      </c>
      <c r="AI31" s="104" t="s">
        <v>228</v>
      </c>
      <c r="AJ31" s="103" t="s">
        <v>227</v>
      </c>
      <c r="AK31" s="104" t="s">
        <v>228</v>
      </c>
      <c r="AL31" s="104" t="s">
        <v>228</v>
      </c>
      <c r="AM31" s="104" t="s">
        <v>228</v>
      </c>
      <c r="AN31" s="104" t="s">
        <v>228</v>
      </c>
      <c r="AO31" s="104" t="s">
        <v>228</v>
      </c>
      <c r="AP31" s="104" t="s">
        <v>228</v>
      </c>
      <c r="AQ31" s="103" t="s">
        <v>227</v>
      </c>
      <c r="AR31" s="104" t="s">
        <v>228</v>
      </c>
      <c r="AS31" s="104" t="s">
        <v>228</v>
      </c>
      <c r="AT31" s="104" t="s">
        <v>228</v>
      </c>
      <c r="AU31" s="104" t="s">
        <v>228</v>
      </c>
      <c r="AV31" s="104" t="s">
        <v>228</v>
      </c>
      <c r="AW31" s="124" t="s">
        <v>202</v>
      </c>
      <c r="AX31" s="103" t="s">
        <v>227</v>
      </c>
      <c r="AY31" s="124" t="s">
        <v>202</v>
      </c>
      <c r="AZ31" s="124" t="s">
        <v>202</v>
      </c>
      <c r="BA31" s="108" t="n">
        <v>31</v>
      </c>
      <c r="BB31" s="109" t="n">
        <v>20</v>
      </c>
      <c r="BC31" s="109" t="n">
        <v>0</v>
      </c>
      <c r="BD31" s="109" t="n">
        <v>6</v>
      </c>
      <c r="BE31" s="109" t="n">
        <v>0</v>
      </c>
      <c r="BF31" s="109" t="n">
        <v>0</v>
      </c>
      <c r="BG31" s="109" t="n">
        <v>0</v>
      </c>
      <c r="BH31" s="109" t="n">
        <v>0</v>
      </c>
      <c r="BI31" s="109" t="n">
        <v>0</v>
      </c>
      <c r="BJ31" s="109" t="n">
        <v>0</v>
      </c>
      <c r="BK31" s="109" t="n">
        <v>0</v>
      </c>
      <c r="BL31" s="109" t="n">
        <v>5</v>
      </c>
      <c r="BM31" s="109" t="n">
        <v>25</v>
      </c>
      <c r="BN31" s="110"/>
      <c r="BO31" s="111" t="n">
        <v>0</v>
      </c>
      <c r="BP31" s="111" t="n">
        <v>0</v>
      </c>
      <c r="BQ31" s="111" t="n">
        <v>0</v>
      </c>
      <c r="BR31" s="111" t="n">
        <v>0</v>
      </c>
      <c r="BS31" s="111" t="n">
        <v>0</v>
      </c>
    </row>
    <row r="32" customFormat="false" ht="18.75" hidden="false" customHeight="true" outlineLevel="0" collapsed="false">
      <c r="A32" s="112" t="n">
        <v>30</v>
      </c>
      <c r="B32" s="113" t="s">
        <v>376</v>
      </c>
      <c r="C32" s="113" t="s">
        <v>377</v>
      </c>
      <c r="D32" s="113" t="s">
        <v>378</v>
      </c>
      <c r="E32" s="114" t="s">
        <v>379</v>
      </c>
      <c r="F32" s="115" t="s">
        <v>106</v>
      </c>
      <c r="G32" s="113" t="s">
        <v>218</v>
      </c>
      <c r="H32" s="113" t="s">
        <v>219</v>
      </c>
      <c r="I32" s="116" t="n">
        <v>45563</v>
      </c>
      <c r="J32" s="100" t="s">
        <v>380</v>
      </c>
      <c r="K32" s="113" t="s">
        <v>220</v>
      </c>
      <c r="L32" s="113" t="s">
        <v>53</v>
      </c>
      <c r="M32" s="113" t="s">
        <v>221</v>
      </c>
      <c r="N32" s="101" t="s">
        <v>222</v>
      </c>
      <c r="O32" s="113" t="s">
        <v>247</v>
      </c>
      <c r="P32" s="113" t="s">
        <v>223</v>
      </c>
      <c r="Q32" s="113"/>
      <c r="R32" s="113"/>
      <c r="S32" s="113"/>
      <c r="T32" s="113" t="s">
        <v>381</v>
      </c>
      <c r="U32" s="113" t="s">
        <v>382</v>
      </c>
      <c r="V32" s="104" t="s">
        <v>228</v>
      </c>
      <c r="W32" s="124" t="s">
        <v>202</v>
      </c>
      <c r="X32" s="104" t="s">
        <v>228</v>
      </c>
      <c r="Y32" s="105" t="s">
        <v>205</v>
      </c>
      <c r="Z32" s="104" t="s">
        <v>228</v>
      </c>
      <c r="AA32" s="104" t="s">
        <v>228</v>
      </c>
      <c r="AB32" s="103" t="s">
        <v>227</v>
      </c>
      <c r="AC32" s="104" t="s">
        <v>228</v>
      </c>
      <c r="AD32" s="104" t="s">
        <v>228</v>
      </c>
      <c r="AE32" s="104" t="s">
        <v>228</v>
      </c>
      <c r="AF32" s="104" t="s">
        <v>228</v>
      </c>
      <c r="AG32" s="104" t="s">
        <v>228</v>
      </c>
      <c r="AH32" s="124" t="s">
        <v>256</v>
      </c>
      <c r="AI32" s="103" t="s">
        <v>227</v>
      </c>
      <c r="AJ32" s="124" t="s">
        <v>256</v>
      </c>
      <c r="AK32" s="124" t="s">
        <v>256</v>
      </c>
      <c r="AL32" s="124" t="s">
        <v>256</v>
      </c>
      <c r="AM32" s="124" t="s">
        <v>256</v>
      </c>
      <c r="AN32" s="124" t="s">
        <v>256</v>
      </c>
      <c r="AO32" s="124" t="s">
        <v>256</v>
      </c>
      <c r="AP32" s="124" t="s">
        <v>256</v>
      </c>
      <c r="AQ32" s="124" t="s">
        <v>256</v>
      </c>
      <c r="AR32" s="124" t="s">
        <v>256</v>
      </c>
      <c r="AS32" s="124" t="s">
        <v>256</v>
      </c>
      <c r="AT32" s="124" t="s">
        <v>256</v>
      </c>
      <c r="AU32" s="124" t="s">
        <v>256</v>
      </c>
      <c r="AV32" s="104" t="s">
        <v>228</v>
      </c>
      <c r="AW32" s="104" t="s">
        <v>228</v>
      </c>
      <c r="AX32" s="104" t="s">
        <v>228</v>
      </c>
      <c r="AY32" s="104" t="s">
        <v>228</v>
      </c>
      <c r="AZ32" s="104" t="s">
        <v>228</v>
      </c>
      <c r="BA32" s="120" t="n">
        <v>30</v>
      </c>
      <c r="BB32" s="121" t="n">
        <v>13</v>
      </c>
      <c r="BC32" s="121" t="n">
        <v>0</v>
      </c>
      <c r="BD32" s="121" t="n">
        <v>1</v>
      </c>
      <c r="BE32" s="121" t="n">
        <v>0</v>
      </c>
      <c r="BF32" s="121" t="n">
        <v>0</v>
      </c>
      <c r="BG32" s="121" t="n">
        <v>1</v>
      </c>
      <c r="BH32" s="121" t="n">
        <v>0</v>
      </c>
      <c r="BI32" s="121" t="n">
        <v>0</v>
      </c>
      <c r="BJ32" s="121" t="n">
        <v>0</v>
      </c>
      <c r="BK32" s="121" t="n">
        <v>0</v>
      </c>
      <c r="BL32" s="121" t="n">
        <v>2</v>
      </c>
      <c r="BM32" s="121" t="n">
        <v>16</v>
      </c>
      <c r="BN32" s="122"/>
      <c r="BO32" s="123" t="n">
        <v>20</v>
      </c>
      <c r="BP32" s="123" t="n">
        <v>4</v>
      </c>
      <c r="BQ32" s="123" t="n">
        <v>24</v>
      </c>
      <c r="BR32" s="123" t="n">
        <v>3</v>
      </c>
      <c r="BS32" s="123" t="n">
        <v>19.2</v>
      </c>
    </row>
    <row r="33" customFormat="false" ht="18.75" hidden="false" customHeight="true" outlineLevel="0" collapsed="false">
      <c r="A33" s="95" t="n">
        <v>31</v>
      </c>
      <c r="B33" s="96" t="s">
        <v>383</v>
      </c>
      <c r="C33" s="96" t="s">
        <v>384</v>
      </c>
      <c r="D33" s="96" t="s">
        <v>385</v>
      </c>
      <c r="E33" s="97" t="s">
        <v>386</v>
      </c>
      <c r="F33" s="98" t="s">
        <v>110</v>
      </c>
      <c r="G33" s="96" t="s">
        <v>218</v>
      </c>
      <c r="H33" s="96" t="s">
        <v>219</v>
      </c>
      <c r="I33" s="99" t="n">
        <v>45695</v>
      </c>
      <c r="J33" s="100" t="s">
        <v>380</v>
      </c>
      <c r="K33" s="96" t="s">
        <v>220</v>
      </c>
      <c r="L33" s="96" t="s">
        <v>53</v>
      </c>
      <c r="M33" s="96" t="s">
        <v>254</v>
      </c>
      <c r="N33" s="101" t="s">
        <v>222</v>
      </c>
      <c r="O33" s="96" t="s">
        <v>247</v>
      </c>
      <c r="P33" s="96" t="s">
        <v>223</v>
      </c>
      <c r="Q33" s="96"/>
      <c r="R33" s="96"/>
      <c r="S33" s="96" t="s">
        <v>387</v>
      </c>
      <c r="T33" s="96" t="s">
        <v>225</v>
      </c>
      <c r="U33" s="96" t="s">
        <v>388</v>
      </c>
      <c r="V33" s="103" t="s">
        <v>227</v>
      </c>
      <c r="W33" s="104" t="s">
        <v>228</v>
      </c>
      <c r="X33" s="104" t="s">
        <v>228</v>
      </c>
      <c r="Y33" s="105" t="s">
        <v>205</v>
      </c>
      <c r="Z33" s="104" t="s">
        <v>228</v>
      </c>
      <c r="AA33" s="104" t="s">
        <v>228</v>
      </c>
      <c r="AB33" s="104" t="s">
        <v>228</v>
      </c>
      <c r="AC33" s="103" t="s">
        <v>227</v>
      </c>
      <c r="AD33" s="104" t="s">
        <v>228</v>
      </c>
      <c r="AE33" s="104" t="s">
        <v>228</v>
      </c>
      <c r="AF33" s="104" t="s">
        <v>228</v>
      </c>
      <c r="AG33" s="104" t="s">
        <v>228</v>
      </c>
      <c r="AH33" s="125" t="s">
        <v>201</v>
      </c>
      <c r="AI33" s="104" t="s">
        <v>228</v>
      </c>
      <c r="AJ33" s="103" t="s">
        <v>227</v>
      </c>
      <c r="AK33" s="104" t="s">
        <v>228</v>
      </c>
      <c r="AL33" s="104" t="s">
        <v>228</v>
      </c>
      <c r="AM33" s="104" t="s">
        <v>228</v>
      </c>
      <c r="AN33" s="104" t="s">
        <v>228</v>
      </c>
      <c r="AO33" s="104" t="s">
        <v>228</v>
      </c>
      <c r="AP33" s="104" t="s">
        <v>228</v>
      </c>
      <c r="AQ33" s="103" t="s">
        <v>227</v>
      </c>
      <c r="AR33" s="118" t="s">
        <v>236</v>
      </c>
      <c r="AS33" s="104" t="s">
        <v>228</v>
      </c>
      <c r="AT33" s="104" t="s">
        <v>228</v>
      </c>
      <c r="AU33" s="106" t="s">
        <v>229</v>
      </c>
      <c r="AV33" s="104" t="s">
        <v>228</v>
      </c>
      <c r="AW33" s="103" t="s">
        <v>227</v>
      </c>
      <c r="AX33" s="107"/>
      <c r="AY33" s="104" t="s">
        <v>228</v>
      </c>
      <c r="AZ33" s="104" t="s">
        <v>228</v>
      </c>
      <c r="BA33" s="108" t="n">
        <v>29</v>
      </c>
      <c r="BB33" s="109" t="n">
        <v>21</v>
      </c>
      <c r="BC33" s="109" t="n">
        <v>1</v>
      </c>
      <c r="BD33" s="109" t="n">
        <v>0</v>
      </c>
      <c r="BE33" s="109" t="n">
        <v>0</v>
      </c>
      <c r="BF33" s="109" t="n">
        <v>1</v>
      </c>
      <c r="BG33" s="109" t="n">
        <v>1</v>
      </c>
      <c r="BH33" s="109" t="n">
        <v>1</v>
      </c>
      <c r="BI33" s="109" t="n">
        <v>0</v>
      </c>
      <c r="BJ33" s="109" t="n">
        <v>0</v>
      </c>
      <c r="BK33" s="109" t="n">
        <v>0</v>
      </c>
      <c r="BL33" s="109" t="n">
        <v>4</v>
      </c>
      <c r="BM33" s="109" t="n">
        <v>28.5</v>
      </c>
      <c r="BN33" s="110"/>
      <c r="BO33" s="111" t="n">
        <v>20</v>
      </c>
      <c r="BP33" s="111" t="n">
        <v>4</v>
      </c>
      <c r="BQ33" s="111" t="n">
        <v>24</v>
      </c>
      <c r="BR33" s="111" t="n">
        <v>3</v>
      </c>
      <c r="BS33" s="111" t="n">
        <v>19.2</v>
      </c>
    </row>
    <row r="34" customFormat="false" ht="18.75" hidden="false" customHeight="true" outlineLevel="0" collapsed="false">
      <c r="A34" s="112" t="n">
        <v>32</v>
      </c>
      <c r="B34" s="113" t="s">
        <v>389</v>
      </c>
      <c r="C34" s="113" t="s">
        <v>390</v>
      </c>
      <c r="D34" s="113" t="s">
        <v>391</v>
      </c>
      <c r="E34" s="114" t="s">
        <v>392</v>
      </c>
      <c r="F34" s="115" t="s">
        <v>391</v>
      </c>
      <c r="G34" s="113" t="s">
        <v>218</v>
      </c>
      <c r="H34" s="113" t="s">
        <v>219</v>
      </c>
      <c r="I34" s="116" t="n">
        <v>45695</v>
      </c>
      <c r="J34" s="100" t="s">
        <v>380</v>
      </c>
      <c r="K34" s="113" t="s">
        <v>220</v>
      </c>
      <c r="L34" s="113" t="s">
        <v>53</v>
      </c>
      <c r="M34" s="113" t="s">
        <v>254</v>
      </c>
      <c r="N34" s="128" t="s">
        <v>311</v>
      </c>
      <c r="O34" s="113" t="s">
        <v>218</v>
      </c>
      <c r="P34" s="113" t="s">
        <v>218</v>
      </c>
      <c r="Q34" s="113"/>
      <c r="R34" s="113"/>
      <c r="S34" s="113"/>
      <c r="T34" s="113" t="s">
        <v>225</v>
      </c>
      <c r="U34" s="113" t="s">
        <v>393</v>
      </c>
      <c r="V34" s="103" t="s">
        <v>227</v>
      </c>
      <c r="W34" s="104" t="s">
        <v>228</v>
      </c>
      <c r="X34" s="104" t="s">
        <v>228</v>
      </c>
      <c r="Y34" s="105" t="s">
        <v>205</v>
      </c>
      <c r="Z34" s="104" t="s">
        <v>228</v>
      </c>
      <c r="AA34" s="104" t="s">
        <v>228</v>
      </c>
      <c r="AB34" s="104" t="s">
        <v>228</v>
      </c>
      <c r="AC34" s="103" t="s">
        <v>227</v>
      </c>
      <c r="AD34" s="104" t="s">
        <v>228</v>
      </c>
      <c r="AE34" s="104" t="s">
        <v>228</v>
      </c>
      <c r="AF34" s="104" t="s">
        <v>228</v>
      </c>
      <c r="AG34" s="104" t="s">
        <v>228</v>
      </c>
      <c r="AH34" s="125" t="s">
        <v>201</v>
      </c>
      <c r="AI34" s="103" t="s">
        <v>227</v>
      </c>
      <c r="AJ34" s="130" t="s">
        <v>394</v>
      </c>
      <c r="AK34" s="130" t="s">
        <v>394</v>
      </c>
      <c r="AL34" s="130" t="s">
        <v>394</v>
      </c>
      <c r="AM34" s="130" t="s">
        <v>394</v>
      </c>
      <c r="AN34" s="130" t="s">
        <v>394</v>
      </c>
      <c r="AO34" s="130" t="s">
        <v>394</v>
      </c>
      <c r="AP34" s="130" t="s">
        <v>394</v>
      </c>
      <c r="AQ34" s="130" t="s">
        <v>394</v>
      </c>
      <c r="AR34" s="130" t="s">
        <v>394</v>
      </c>
      <c r="AS34" s="130" t="s">
        <v>394</v>
      </c>
      <c r="AT34" s="130" t="s">
        <v>394</v>
      </c>
      <c r="AU34" s="130" t="s">
        <v>394</v>
      </c>
      <c r="AV34" s="130" t="s">
        <v>394</v>
      </c>
      <c r="AW34" s="130" t="s">
        <v>394</v>
      </c>
      <c r="AX34" s="130" t="s">
        <v>394</v>
      </c>
      <c r="AY34" s="130" t="s">
        <v>394</v>
      </c>
      <c r="AZ34" s="130" t="s">
        <v>394</v>
      </c>
      <c r="BA34" s="120" t="n">
        <v>13</v>
      </c>
      <c r="BB34" s="121" t="n">
        <v>9</v>
      </c>
      <c r="BC34" s="121" t="n">
        <v>1</v>
      </c>
      <c r="BD34" s="121" t="n">
        <v>0</v>
      </c>
      <c r="BE34" s="121" t="n">
        <v>0</v>
      </c>
      <c r="BF34" s="121" t="n">
        <v>0</v>
      </c>
      <c r="BG34" s="121" t="n">
        <v>1</v>
      </c>
      <c r="BH34" s="121" t="n">
        <v>0</v>
      </c>
      <c r="BI34" s="121" t="n">
        <v>0</v>
      </c>
      <c r="BJ34" s="121" t="n">
        <v>0</v>
      </c>
      <c r="BK34" s="121" t="n">
        <v>0</v>
      </c>
      <c r="BL34" s="121" t="n">
        <v>2</v>
      </c>
      <c r="BM34" s="121" t="n">
        <v>12.5</v>
      </c>
      <c r="BN34" s="122"/>
      <c r="BO34" s="123" t="n">
        <v>20</v>
      </c>
      <c r="BP34" s="123" t="n">
        <v>4</v>
      </c>
      <c r="BQ34" s="123" t="n">
        <v>24</v>
      </c>
      <c r="BR34" s="123" t="n">
        <v>3</v>
      </c>
      <c r="BS34" s="123" t="n">
        <v>19.2</v>
      </c>
    </row>
    <row r="35" customFormat="false" ht="18.75" hidden="false" customHeight="true" outlineLevel="0" collapsed="false">
      <c r="A35" s="95" t="n">
        <v>33</v>
      </c>
      <c r="B35" s="96" t="s">
        <v>395</v>
      </c>
      <c r="C35" s="96" t="s">
        <v>396</v>
      </c>
      <c r="D35" s="96" t="s">
        <v>100</v>
      </c>
      <c r="E35" s="97" t="s">
        <v>397</v>
      </c>
      <c r="F35" s="98" t="s">
        <v>100</v>
      </c>
      <c r="G35" s="96" t="s">
        <v>218</v>
      </c>
      <c r="H35" s="96" t="s">
        <v>219</v>
      </c>
      <c r="I35" s="99" t="n">
        <v>45791</v>
      </c>
      <c r="J35" s="100" t="s">
        <v>380</v>
      </c>
      <c r="K35" s="96" t="s">
        <v>220</v>
      </c>
      <c r="L35" s="96" t="s">
        <v>53</v>
      </c>
      <c r="M35" s="96" t="s">
        <v>254</v>
      </c>
      <c r="N35" s="101" t="s">
        <v>222</v>
      </c>
      <c r="O35" s="96" t="s">
        <v>247</v>
      </c>
      <c r="P35" s="96" t="s">
        <v>223</v>
      </c>
      <c r="Q35" s="96"/>
      <c r="R35" s="96"/>
      <c r="S35" s="96" t="s">
        <v>223</v>
      </c>
      <c r="T35" s="96" t="s">
        <v>398</v>
      </c>
      <c r="U35" s="96" t="s">
        <v>399</v>
      </c>
      <c r="V35" s="103" t="s">
        <v>227</v>
      </c>
      <c r="W35" s="104" t="s">
        <v>228</v>
      </c>
      <c r="X35" s="104" t="s">
        <v>228</v>
      </c>
      <c r="Y35" s="105" t="s">
        <v>205</v>
      </c>
      <c r="Z35" s="104" t="s">
        <v>228</v>
      </c>
      <c r="AA35" s="104" t="s">
        <v>228</v>
      </c>
      <c r="AB35" s="103" t="s">
        <v>227</v>
      </c>
      <c r="AC35" s="104" t="s">
        <v>228</v>
      </c>
      <c r="AD35" s="104" t="s">
        <v>228</v>
      </c>
      <c r="AE35" s="104" t="s">
        <v>228</v>
      </c>
      <c r="AF35" s="104" t="s">
        <v>228</v>
      </c>
      <c r="AG35" s="104" t="s">
        <v>228</v>
      </c>
      <c r="AH35" s="104" t="s">
        <v>228</v>
      </c>
      <c r="AI35" s="104" t="s">
        <v>228</v>
      </c>
      <c r="AJ35" s="103" t="s">
        <v>227</v>
      </c>
      <c r="AK35" s="104" t="s">
        <v>228</v>
      </c>
      <c r="AL35" s="104" t="s">
        <v>228</v>
      </c>
      <c r="AM35" s="104" t="s">
        <v>228</v>
      </c>
      <c r="AN35" s="104" t="s">
        <v>228</v>
      </c>
      <c r="AO35" s="104" t="s">
        <v>228</v>
      </c>
      <c r="AP35" s="104" t="s">
        <v>228</v>
      </c>
      <c r="AQ35" s="103" t="s">
        <v>227</v>
      </c>
      <c r="AR35" s="104" t="s">
        <v>228</v>
      </c>
      <c r="AS35" s="104" t="s">
        <v>228</v>
      </c>
      <c r="AT35" s="104" t="s">
        <v>228</v>
      </c>
      <c r="AU35" s="104" t="s">
        <v>228</v>
      </c>
      <c r="AV35" s="104" t="s">
        <v>228</v>
      </c>
      <c r="AW35" s="103" t="s">
        <v>227</v>
      </c>
      <c r="AX35" s="107"/>
      <c r="AY35" s="104" t="s">
        <v>228</v>
      </c>
      <c r="AZ35" s="104" t="s">
        <v>228</v>
      </c>
      <c r="BA35" s="108" t="n">
        <v>29</v>
      </c>
      <c r="BB35" s="109" t="n">
        <v>24</v>
      </c>
      <c r="BC35" s="109" t="n">
        <v>0</v>
      </c>
      <c r="BD35" s="109" t="n">
        <v>0</v>
      </c>
      <c r="BE35" s="109" t="n">
        <v>0</v>
      </c>
      <c r="BF35" s="109" t="n">
        <v>0</v>
      </c>
      <c r="BG35" s="109" t="n">
        <v>1</v>
      </c>
      <c r="BH35" s="109" t="n">
        <v>0</v>
      </c>
      <c r="BI35" s="109" t="n">
        <v>0</v>
      </c>
      <c r="BJ35" s="109" t="n">
        <v>0</v>
      </c>
      <c r="BK35" s="109" t="n">
        <v>0</v>
      </c>
      <c r="BL35" s="109" t="n">
        <v>4</v>
      </c>
      <c r="BM35" s="109" t="n">
        <v>29</v>
      </c>
      <c r="BN35" s="110"/>
      <c r="BO35" s="111" t="n">
        <v>20</v>
      </c>
      <c r="BP35" s="111" t="n">
        <v>4</v>
      </c>
      <c r="BQ35" s="111" t="n">
        <v>24</v>
      </c>
      <c r="BR35" s="111" t="n">
        <v>3</v>
      </c>
      <c r="BS35" s="111" t="n">
        <v>19.2</v>
      </c>
    </row>
    <row r="36" customFormat="false" ht="18.75" hidden="false" customHeight="true" outlineLevel="0" collapsed="false">
      <c r="A36" s="112" t="n">
        <v>34</v>
      </c>
      <c r="B36" s="113" t="s">
        <v>400</v>
      </c>
      <c r="C36" s="113" t="s">
        <v>401</v>
      </c>
      <c r="D36" s="113" t="s">
        <v>128</v>
      </c>
      <c r="E36" s="114" t="s">
        <v>402</v>
      </c>
      <c r="F36" s="115" t="s">
        <v>128</v>
      </c>
      <c r="G36" s="113" t="s">
        <v>223</v>
      </c>
      <c r="H36" s="113" t="s">
        <v>219</v>
      </c>
      <c r="I36" s="116" t="n">
        <v>45791</v>
      </c>
      <c r="J36" s="100" t="s">
        <v>380</v>
      </c>
      <c r="K36" s="113" t="s">
        <v>220</v>
      </c>
      <c r="L36" s="113" t="s">
        <v>53</v>
      </c>
      <c r="M36" s="113" t="s">
        <v>254</v>
      </c>
      <c r="N36" s="101" t="s">
        <v>222</v>
      </c>
      <c r="O36" s="113" t="s">
        <v>247</v>
      </c>
      <c r="P36" s="113" t="s">
        <v>223</v>
      </c>
      <c r="Q36" s="113"/>
      <c r="R36" s="113"/>
      <c r="S36" s="113" t="s">
        <v>223</v>
      </c>
      <c r="T36" s="113" t="s">
        <v>225</v>
      </c>
      <c r="U36" s="113" t="s">
        <v>403</v>
      </c>
      <c r="V36" s="104" t="s">
        <v>228</v>
      </c>
      <c r="W36" s="124" t="s">
        <v>202</v>
      </c>
      <c r="X36" s="104" t="s">
        <v>228</v>
      </c>
      <c r="Y36" s="105" t="s">
        <v>205</v>
      </c>
      <c r="Z36" s="104" t="s">
        <v>228</v>
      </c>
      <c r="AA36" s="104" t="s">
        <v>228</v>
      </c>
      <c r="AB36" s="104" t="s">
        <v>228</v>
      </c>
      <c r="AC36" s="103" t="s">
        <v>227</v>
      </c>
      <c r="AD36" s="104" t="s">
        <v>228</v>
      </c>
      <c r="AE36" s="104" t="s">
        <v>228</v>
      </c>
      <c r="AF36" s="104" t="s">
        <v>228</v>
      </c>
      <c r="AG36" s="104" t="s">
        <v>228</v>
      </c>
      <c r="AH36" s="125" t="s">
        <v>201</v>
      </c>
      <c r="AI36" s="103" t="s">
        <v>227</v>
      </c>
      <c r="AJ36" s="104" t="s">
        <v>228</v>
      </c>
      <c r="AK36" s="104" t="s">
        <v>228</v>
      </c>
      <c r="AL36" s="104" t="s">
        <v>228</v>
      </c>
      <c r="AM36" s="104" t="s">
        <v>228</v>
      </c>
      <c r="AN36" s="104" t="s">
        <v>228</v>
      </c>
      <c r="AO36" s="104" t="s">
        <v>228</v>
      </c>
      <c r="AP36" s="104" t="s">
        <v>228</v>
      </c>
      <c r="AQ36" s="103" t="s">
        <v>227</v>
      </c>
      <c r="AR36" s="104" t="s">
        <v>228</v>
      </c>
      <c r="AS36" s="104" t="s">
        <v>228</v>
      </c>
      <c r="AT36" s="104" t="s">
        <v>228</v>
      </c>
      <c r="AU36" s="104" t="s">
        <v>228</v>
      </c>
      <c r="AV36" s="104" t="s">
        <v>228</v>
      </c>
      <c r="AW36" s="103" t="s">
        <v>227</v>
      </c>
      <c r="AX36" s="119"/>
      <c r="AY36" s="104" t="s">
        <v>228</v>
      </c>
      <c r="AZ36" s="104" t="s">
        <v>228</v>
      </c>
      <c r="BA36" s="120" t="n">
        <v>29</v>
      </c>
      <c r="BB36" s="121" t="n">
        <v>22</v>
      </c>
      <c r="BC36" s="121" t="n">
        <v>1</v>
      </c>
      <c r="BD36" s="121" t="n">
        <v>1</v>
      </c>
      <c r="BE36" s="121" t="n">
        <v>0</v>
      </c>
      <c r="BF36" s="121" t="n">
        <v>0</v>
      </c>
      <c r="BG36" s="121" t="n">
        <v>1</v>
      </c>
      <c r="BH36" s="121" t="n">
        <v>0</v>
      </c>
      <c r="BI36" s="121" t="n">
        <v>0</v>
      </c>
      <c r="BJ36" s="121" t="n">
        <v>0</v>
      </c>
      <c r="BK36" s="121" t="n">
        <v>0</v>
      </c>
      <c r="BL36" s="121" t="n">
        <v>4</v>
      </c>
      <c r="BM36" s="121" t="n">
        <v>27.5</v>
      </c>
      <c r="BN36" s="122"/>
      <c r="BO36" s="123" t="n">
        <v>20</v>
      </c>
      <c r="BP36" s="123" t="n">
        <v>4</v>
      </c>
      <c r="BQ36" s="123" t="n">
        <v>24</v>
      </c>
      <c r="BR36" s="123" t="n">
        <v>3</v>
      </c>
      <c r="BS36" s="123" t="n">
        <v>19.2</v>
      </c>
    </row>
    <row r="37" customFormat="false" ht="18.75" hidden="false" customHeight="true" outlineLevel="0" collapsed="false">
      <c r="A37" s="95" t="n">
        <v>35</v>
      </c>
      <c r="B37" s="96" t="s">
        <v>404</v>
      </c>
      <c r="C37" s="96" t="s">
        <v>405</v>
      </c>
      <c r="D37" s="96" t="s">
        <v>102</v>
      </c>
      <c r="E37" s="97" t="s">
        <v>406</v>
      </c>
      <c r="F37" s="98" t="s">
        <v>102</v>
      </c>
      <c r="G37" s="96" t="s">
        <v>218</v>
      </c>
      <c r="H37" s="96" t="s">
        <v>219</v>
      </c>
      <c r="I37" s="99" t="n">
        <v>45810</v>
      </c>
      <c r="J37" s="100" t="s">
        <v>380</v>
      </c>
      <c r="K37" s="96" t="s">
        <v>220</v>
      </c>
      <c r="L37" s="96" t="s">
        <v>53</v>
      </c>
      <c r="M37" s="96" t="s">
        <v>254</v>
      </c>
      <c r="N37" s="101" t="s">
        <v>222</v>
      </c>
      <c r="O37" s="96" t="s">
        <v>247</v>
      </c>
      <c r="P37" s="96" t="s">
        <v>287</v>
      </c>
      <c r="Q37" s="96"/>
      <c r="R37" s="96"/>
      <c r="S37" s="96" t="s">
        <v>407</v>
      </c>
      <c r="T37" s="96" t="s">
        <v>234</v>
      </c>
      <c r="U37" s="96" t="s">
        <v>408</v>
      </c>
      <c r="V37" s="104" t="s">
        <v>228</v>
      </c>
      <c r="W37" s="104" t="s">
        <v>228</v>
      </c>
      <c r="X37" s="104" t="s">
        <v>228</v>
      </c>
      <c r="Y37" s="105" t="s">
        <v>205</v>
      </c>
      <c r="Z37" s="104" t="s">
        <v>228</v>
      </c>
      <c r="AA37" s="104" t="s">
        <v>228</v>
      </c>
      <c r="AB37" s="104" t="s">
        <v>228</v>
      </c>
      <c r="AC37" s="103" t="s">
        <v>227</v>
      </c>
      <c r="AD37" s="104" t="s">
        <v>228</v>
      </c>
      <c r="AE37" s="104" t="s">
        <v>228</v>
      </c>
      <c r="AF37" s="104" t="s">
        <v>228</v>
      </c>
      <c r="AG37" s="104" t="s">
        <v>228</v>
      </c>
      <c r="AH37" s="104" t="s">
        <v>228</v>
      </c>
      <c r="AI37" s="103" t="s">
        <v>227</v>
      </c>
      <c r="AJ37" s="104" t="s">
        <v>228</v>
      </c>
      <c r="AK37" s="104" t="s">
        <v>228</v>
      </c>
      <c r="AL37" s="104" t="s">
        <v>228</v>
      </c>
      <c r="AM37" s="104" t="s">
        <v>228</v>
      </c>
      <c r="AN37" s="104" t="s">
        <v>228</v>
      </c>
      <c r="AO37" s="104" t="s">
        <v>228</v>
      </c>
      <c r="AP37" s="103" t="s">
        <v>227</v>
      </c>
      <c r="AQ37" s="104" t="s">
        <v>228</v>
      </c>
      <c r="AR37" s="104" t="s">
        <v>228</v>
      </c>
      <c r="AS37" s="104" t="s">
        <v>228</v>
      </c>
      <c r="AT37" s="104" t="s">
        <v>228</v>
      </c>
      <c r="AU37" s="106" t="s">
        <v>229</v>
      </c>
      <c r="AV37" s="104" t="s">
        <v>228</v>
      </c>
      <c r="AW37" s="104" t="s">
        <v>228</v>
      </c>
      <c r="AX37" s="107"/>
      <c r="AY37" s="104" t="s">
        <v>228</v>
      </c>
      <c r="AZ37" s="104" t="s">
        <v>228</v>
      </c>
      <c r="BA37" s="108" t="n">
        <v>29</v>
      </c>
      <c r="BB37" s="109" t="n">
        <v>24</v>
      </c>
      <c r="BC37" s="109" t="n">
        <v>0</v>
      </c>
      <c r="BD37" s="109" t="n">
        <v>0</v>
      </c>
      <c r="BE37" s="109" t="n">
        <v>0</v>
      </c>
      <c r="BF37" s="109" t="n">
        <v>1</v>
      </c>
      <c r="BG37" s="109" t="n">
        <v>1</v>
      </c>
      <c r="BH37" s="109" t="n">
        <v>0</v>
      </c>
      <c r="BI37" s="109" t="n">
        <v>0</v>
      </c>
      <c r="BJ37" s="109" t="n">
        <v>0</v>
      </c>
      <c r="BK37" s="109" t="n">
        <v>0</v>
      </c>
      <c r="BL37" s="109" t="n">
        <v>3</v>
      </c>
      <c r="BM37" s="109" t="n">
        <v>29</v>
      </c>
      <c r="BN37" s="110"/>
      <c r="BO37" s="111" t="n">
        <v>20</v>
      </c>
      <c r="BP37" s="111" t="n">
        <v>4</v>
      </c>
      <c r="BQ37" s="111" t="n">
        <v>24</v>
      </c>
      <c r="BR37" s="111" t="n">
        <v>3</v>
      </c>
      <c r="BS37" s="111" t="n">
        <v>19.2</v>
      </c>
    </row>
    <row r="38" customFormat="false" ht="18.75" hidden="false" customHeight="true" outlineLevel="0" collapsed="false">
      <c r="A38" s="112" t="n">
        <v>36</v>
      </c>
      <c r="B38" s="113" t="s">
        <v>409</v>
      </c>
      <c r="C38" s="113" t="s">
        <v>68</v>
      </c>
      <c r="D38" s="113" t="s">
        <v>68</v>
      </c>
      <c r="E38" s="114" t="s">
        <v>410</v>
      </c>
      <c r="F38" s="115" t="s">
        <v>68</v>
      </c>
      <c r="G38" s="113" t="s">
        <v>218</v>
      </c>
      <c r="H38" s="113" t="s">
        <v>219</v>
      </c>
      <c r="I38" s="116" t="n">
        <v>46057</v>
      </c>
      <c r="J38" s="100" t="s">
        <v>380</v>
      </c>
      <c r="K38" s="113" t="s">
        <v>220</v>
      </c>
      <c r="L38" s="113" t="s">
        <v>53</v>
      </c>
      <c r="M38" s="113" t="s">
        <v>254</v>
      </c>
      <c r="N38" s="101" t="s">
        <v>222</v>
      </c>
      <c r="O38" s="113" t="s">
        <v>247</v>
      </c>
      <c r="P38" s="113" t="s">
        <v>287</v>
      </c>
      <c r="Q38" s="113"/>
      <c r="R38" s="113"/>
      <c r="S38" s="113" t="s">
        <v>411</v>
      </c>
      <c r="T38" s="113"/>
      <c r="U38" s="113"/>
      <c r="V38" s="104" t="s">
        <v>228</v>
      </c>
      <c r="W38" s="104" t="s">
        <v>228</v>
      </c>
      <c r="X38" s="104" t="s">
        <v>228</v>
      </c>
      <c r="Y38" s="104" t="s">
        <v>228</v>
      </c>
      <c r="Z38" s="104" t="s">
        <v>228</v>
      </c>
      <c r="AA38" s="104" t="s">
        <v>228</v>
      </c>
      <c r="AB38" s="104" t="s">
        <v>228</v>
      </c>
      <c r="AC38" s="103" t="s">
        <v>227</v>
      </c>
      <c r="AD38" s="104" t="s">
        <v>228</v>
      </c>
      <c r="AE38" s="104" t="s">
        <v>228</v>
      </c>
      <c r="AF38" s="104" t="s">
        <v>228</v>
      </c>
      <c r="AG38" s="104" t="s">
        <v>228</v>
      </c>
      <c r="AH38" s="104" t="s">
        <v>228</v>
      </c>
      <c r="AI38" s="104" t="s">
        <v>228</v>
      </c>
      <c r="AJ38" s="103" t="s">
        <v>227</v>
      </c>
      <c r="AK38" s="104" t="s">
        <v>228</v>
      </c>
      <c r="AL38" s="105" t="s">
        <v>205</v>
      </c>
      <c r="AM38" s="104" t="s">
        <v>228</v>
      </c>
      <c r="AN38" s="104" t="s">
        <v>228</v>
      </c>
      <c r="AO38" s="104" t="s">
        <v>228</v>
      </c>
      <c r="AP38" s="104" t="s">
        <v>228</v>
      </c>
      <c r="AQ38" s="103" t="s">
        <v>227</v>
      </c>
      <c r="AR38" s="104" t="s">
        <v>228</v>
      </c>
      <c r="AS38" s="104" t="s">
        <v>228</v>
      </c>
      <c r="AT38" s="104" t="s">
        <v>228</v>
      </c>
      <c r="AU38" s="106" t="s">
        <v>229</v>
      </c>
      <c r="AV38" s="104" t="s">
        <v>228</v>
      </c>
      <c r="AW38" s="104" t="s">
        <v>228</v>
      </c>
      <c r="AX38" s="119"/>
      <c r="AY38" s="104" t="s">
        <v>228</v>
      </c>
      <c r="AZ38" s="104" t="s">
        <v>228</v>
      </c>
      <c r="BA38" s="120" t="n">
        <v>29</v>
      </c>
      <c r="BB38" s="121" t="n">
        <v>24</v>
      </c>
      <c r="BC38" s="121" t="n">
        <v>0</v>
      </c>
      <c r="BD38" s="121" t="n">
        <v>0</v>
      </c>
      <c r="BE38" s="121" t="n">
        <v>0</v>
      </c>
      <c r="BF38" s="121" t="n">
        <v>1</v>
      </c>
      <c r="BG38" s="121" t="n">
        <v>1</v>
      </c>
      <c r="BH38" s="121" t="n">
        <v>0</v>
      </c>
      <c r="BI38" s="121" t="n">
        <v>0</v>
      </c>
      <c r="BJ38" s="121" t="n">
        <v>0</v>
      </c>
      <c r="BK38" s="121" t="n">
        <v>0</v>
      </c>
      <c r="BL38" s="121" t="n">
        <v>3</v>
      </c>
      <c r="BM38" s="121" t="n">
        <v>29</v>
      </c>
      <c r="BN38" s="122"/>
      <c r="BO38" s="123" t="n">
        <v>11</v>
      </c>
      <c r="BP38" s="123" t="n">
        <v>4</v>
      </c>
      <c r="BQ38" s="123" t="n">
        <v>15</v>
      </c>
      <c r="BR38" s="123" t="n">
        <v>3</v>
      </c>
      <c r="BS38" s="123" t="n">
        <v>12</v>
      </c>
    </row>
    <row r="39" customFormat="false" ht="18.75" hidden="false" customHeight="true" outlineLevel="0" collapsed="false">
      <c r="A39" s="95" t="n">
        <v>37</v>
      </c>
      <c r="B39" s="96" t="s">
        <v>412</v>
      </c>
      <c r="C39" s="96" t="s">
        <v>76</v>
      </c>
      <c r="D39" s="96" t="s">
        <v>76</v>
      </c>
      <c r="E39" s="97" t="s">
        <v>413</v>
      </c>
      <c r="F39" s="98" t="s">
        <v>76</v>
      </c>
      <c r="G39" s="96" t="s">
        <v>218</v>
      </c>
      <c r="H39" s="96" t="s">
        <v>219</v>
      </c>
      <c r="I39" s="99" t="n">
        <v>46056</v>
      </c>
      <c r="J39" s="100" t="s">
        <v>380</v>
      </c>
      <c r="K39" s="96" t="s">
        <v>220</v>
      </c>
      <c r="L39" s="96" t="s">
        <v>53</v>
      </c>
      <c r="M39" s="96" t="s">
        <v>254</v>
      </c>
      <c r="N39" s="101" t="s">
        <v>222</v>
      </c>
      <c r="O39" s="96" t="s">
        <v>247</v>
      </c>
      <c r="P39" s="96" t="s">
        <v>287</v>
      </c>
      <c r="Q39" s="96"/>
      <c r="R39" s="96"/>
      <c r="S39" s="96" t="s">
        <v>223</v>
      </c>
      <c r="T39" s="96"/>
      <c r="U39" s="96"/>
      <c r="V39" s="103" t="s">
        <v>227</v>
      </c>
      <c r="W39" s="104" t="s">
        <v>228</v>
      </c>
      <c r="X39" s="104" t="s">
        <v>228</v>
      </c>
      <c r="Y39" s="104" t="s">
        <v>228</v>
      </c>
      <c r="Z39" s="104" t="s">
        <v>228</v>
      </c>
      <c r="AA39" s="104" t="s">
        <v>228</v>
      </c>
      <c r="AB39" s="104" t="s">
        <v>228</v>
      </c>
      <c r="AC39" s="103" t="s">
        <v>227</v>
      </c>
      <c r="AD39" s="104" t="s">
        <v>228</v>
      </c>
      <c r="AE39" s="104" t="s">
        <v>228</v>
      </c>
      <c r="AF39" s="104" t="s">
        <v>228</v>
      </c>
      <c r="AG39" s="104" t="s">
        <v>228</v>
      </c>
      <c r="AH39" s="104" t="s">
        <v>228</v>
      </c>
      <c r="AI39" s="104" t="s">
        <v>228</v>
      </c>
      <c r="AJ39" s="103" t="s">
        <v>227</v>
      </c>
      <c r="AK39" s="104" t="s">
        <v>228</v>
      </c>
      <c r="AL39" s="104" t="s">
        <v>228</v>
      </c>
      <c r="AM39" s="104" t="s">
        <v>228</v>
      </c>
      <c r="AN39" s="104" t="s">
        <v>228</v>
      </c>
      <c r="AO39" s="104" t="s">
        <v>228</v>
      </c>
      <c r="AP39" s="106" t="s">
        <v>229</v>
      </c>
      <c r="AQ39" s="103" t="s">
        <v>227</v>
      </c>
      <c r="AR39" s="104" t="s">
        <v>228</v>
      </c>
      <c r="AS39" s="104" t="s">
        <v>228</v>
      </c>
      <c r="AT39" s="104" t="s">
        <v>228</v>
      </c>
      <c r="AU39" s="104" t="s">
        <v>228</v>
      </c>
      <c r="AV39" s="104" t="s">
        <v>228</v>
      </c>
      <c r="AW39" s="104" t="s">
        <v>228</v>
      </c>
      <c r="AX39" s="107"/>
      <c r="AY39" s="104" t="s">
        <v>228</v>
      </c>
      <c r="AZ39" s="105" t="s">
        <v>205</v>
      </c>
      <c r="BA39" s="108" t="n">
        <v>29</v>
      </c>
      <c r="BB39" s="109" t="n">
        <v>24</v>
      </c>
      <c r="BC39" s="109" t="n">
        <v>0</v>
      </c>
      <c r="BD39" s="109" t="n">
        <v>0</v>
      </c>
      <c r="BE39" s="109" t="n">
        <v>0</v>
      </c>
      <c r="BF39" s="109" t="n">
        <v>1</v>
      </c>
      <c r="BG39" s="109" t="n">
        <v>1</v>
      </c>
      <c r="BH39" s="109" t="n">
        <v>0</v>
      </c>
      <c r="BI39" s="109" t="n">
        <v>0</v>
      </c>
      <c r="BJ39" s="109" t="n">
        <v>0</v>
      </c>
      <c r="BK39" s="109" t="n">
        <v>0</v>
      </c>
      <c r="BL39" s="109" t="n">
        <v>3</v>
      </c>
      <c r="BM39" s="109" t="n">
        <v>29</v>
      </c>
      <c r="BN39" s="110"/>
      <c r="BO39" s="111" t="n">
        <v>11</v>
      </c>
      <c r="BP39" s="111" t="n">
        <v>4</v>
      </c>
      <c r="BQ39" s="111" t="n">
        <v>15</v>
      </c>
      <c r="BR39" s="111" t="n">
        <v>3</v>
      </c>
      <c r="BS39" s="111" t="n">
        <v>12</v>
      </c>
    </row>
    <row r="40" customFormat="false" ht="18.75" hidden="false" customHeight="true" outlineLevel="0" collapsed="false">
      <c r="A40" s="112" t="n">
        <v>38</v>
      </c>
      <c r="B40" s="113" t="s">
        <v>414</v>
      </c>
      <c r="C40" s="113" t="s">
        <v>62</v>
      </c>
      <c r="D40" s="113" t="s">
        <v>62</v>
      </c>
      <c r="E40" s="114" t="s">
        <v>415</v>
      </c>
      <c r="F40" s="115" t="s">
        <v>62</v>
      </c>
      <c r="G40" s="113"/>
      <c r="H40" s="113" t="s">
        <v>219</v>
      </c>
      <c r="I40" s="116" t="n">
        <v>46064</v>
      </c>
      <c r="J40" s="100" t="s">
        <v>416</v>
      </c>
      <c r="K40" s="113" t="s">
        <v>220</v>
      </c>
      <c r="L40" s="113" t="s">
        <v>53</v>
      </c>
      <c r="M40" s="113" t="s">
        <v>254</v>
      </c>
      <c r="N40" s="101" t="s">
        <v>222</v>
      </c>
      <c r="O40" s="113" t="s">
        <v>287</v>
      </c>
      <c r="P40" s="113" t="s">
        <v>287</v>
      </c>
      <c r="Q40" s="113"/>
      <c r="R40" s="113"/>
      <c r="S40" s="117" t="n">
        <v>1581282960</v>
      </c>
      <c r="T40" s="113" t="s">
        <v>241</v>
      </c>
      <c r="U40" s="113"/>
      <c r="V40" s="119"/>
      <c r="W40" s="104" t="s">
        <v>228</v>
      </c>
      <c r="X40" s="119"/>
      <c r="Y40" s="104" t="s">
        <v>228</v>
      </c>
      <c r="Z40" s="104" t="s">
        <v>228</v>
      </c>
      <c r="AA40" s="104" t="s">
        <v>228</v>
      </c>
      <c r="AB40" s="104" t="s">
        <v>228</v>
      </c>
      <c r="AC40" s="103" t="s">
        <v>227</v>
      </c>
      <c r="AD40" s="104" t="s">
        <v>228</v>
      </c>
      <c r="AE40" s="104" t="s">
        <v>228</v>
      </c>
      <c r="AF40" s="104" t="s">
        <v>228</v>
      </c>
      <c r="AG40" s="104" t="s">
        <v>228</v>
      </c>
      <c r="AH40" s="104" t="s">
        <v>228</v>
      </c>
      <c r="AI40" s="104" t="s">
        <v>228</v>
      </c>
      <c r="AJ40" s="103" t="s">
        <v>227</v>
      </c>
      <c r="AK40" s="104" t="s">
        <v>228</v>
      </c>
      <c r="AL40" s="104" t="s">
        <v>228</v>
      </c>
      <c r="AM40" s="104" t="s">
        <v>228</v>
      </c>
      <c r="AN40" s="104" t="s">
        <v>228</v>
      </c>
      <c r="AO40" s="104" t="s">
        <v>228</v>
      </c>
      <c r="AP40" s="104" t="s">
        <v>228</v>
      </c>
      <c r="AQ40" s="103" t="s">
        <v>227</v>
      </c>
      <c r="AR40" s="104" t="s">
        <v>228</v>
      </c>
      <c r="AS40" s="104" t="s">
        <v>228</v>
      </c>
      <c r="AT40" s="104" t="s">
        <v>228</v>
      </c>
      <c r="AU40" s="106" t="s">
        <v>229</v>
      </c>
      <c r="AV40" s="104" t="s">
        <v>228</v>
      </c>
      <c r="AW40" s="104" t="s">
        <v>228</v>
      </c>
      <c r="AX40" s="103" t="s">
        <v>227</v>
      </c>
      <c r="AY40" s="104" t="s">
        <v>228</v>
      </c>
      <c r="AZ40" s="104" t="s">
        <v>228</v>
      </c>
      <c r="BA40" s="120" t="n">
        <v>29</v>
      </c>
      <c r="BB40" s="121" t="n">
        <v>24</v>
      </c>
      <c r="BC40" s="121" t="n">
        <v>0</v>
      </c>
      <c r="BD40" s="121" t="n">
        <v>0</v>
      </c>
      <c r="BE40" s="121" t="n">
        <v>0</v>
      </c>
      <c r="BF40" s="121" t="n">
        <v>1</v>
      </c>
      <c r="BG40" s="121" t="n">
        <v>0</v>
      </c>
      <c r="BH40" s="121" t="n">
        <v>0</v>
      </c>
      <c r="BI40" s="121" t="n">
        <v>0</v>
      </c>
      <c r="BJ40" s="121" t="n">
        <v>0</v>
      </c>
      <c r="BK40" s="121" t="n">
        <v>0</v>
      </c>
      <c r="BL40" s="121" t="n">
        <v>4</v>
      </c>
      <c r="BM40" s="121" t="n">
        <v>29</v>
      </c>
      <c r="BN40" s="122"/>
      <c r="BO40" s="123" t="n">
        <v>15</v>
      </c>
      <c r="BP40" s="123" t="n">
        <v>5</v>
      </c>
      <c r="BQ40" s="123" t="n">
        <v>20</v>
      </c>
      <c r="BR40" s="123" t="n">
        <v>4</v>
      </c>
      <c r="BS40" s="123" t="n">
        <v>16</v>
      </c>
    </row>
    <row r="41" customFormat="false" ht="18.75" hidden="false" customHeight="true" outlineLevel="0" collapsed="false">
      <c r="A41" s="95" t="n">
        <v>39</v>
      </c>
      <c r="B41" s="96" t="s">
        <v>417</v>
      </c>
      <c r="C41" s="96" t="s">
        <v>58</v>
      </c>
      <c r="D41" s="96" t="s">
        <v>58</v>
      </c>
      <c r="E41" s="97" t="s">
        <v>418</v>
      </c>
      <c r="F41" s="98" t="s">
        <v>58</v>
      </c>
      <c r="G41" s="96"/>
      <c r="H41" s="96" t="s">
        <v>219</v>
      </c>
      <c r="I41" s="99" t="n">
        <v>46064</v>
      </c>
      <c r="J41" s="100" t="s">
        <v>416</v>
      </c>
      <c r="K41" s="96" t="s">
        <v>220</v>
      </c>
      <c r="L41" s="96" t="s">
        <v>53</v>
      </c>
      <c r="M41" s="96" t="s">
        <v>254</v>
      </c>
      <c r="N41" s="101" t="s">
        <v>222</v>
      </c>
      <c r="O41" s="96" t="s">
        <v>287</v>
      </c>
      <c r="P41" s="96" t="s">
        <v>287</v>
      </c>
      <c r="Q41" s="96"/>
      <c r="R41" s="96"/>
      <c r="S41" s="96"/>
      <c r="T41" s="96" t="s">
        <v>241</v>
      </c>
      <c r="U41" s="96"/>
      <c r="V41" s="107"/>
      <c r="W41" s="104" t="s">
        <v>228</v>
      </c>
      <c r="X41" s="107"/>
      <c r="Y41" s="104" t="s">
        <v>228</v>
      </c>
      <c r="Z41" s="104" t="s">
        <v>228</v>
      </c>
      <c r="AA41" s="104" t="s">
        <v>228</v>
      </c>
      <c r="AB41" s="104" t="s">
        <v>228</v>
      </c>
      <c r="AC41" s="103" t="s">
        <v>227</v>
      </c>
      <c r="AD41" s="104" t="s">
        <v>228</v>
      </c>
      <c r="AE41" s="104" t="s">
        <v>228</v>
      </c>
      <c r="AF41" s="104" t="s">
        <v>228</v>
      </c>
      <c r="AG41" s="104" t="s">
        <v>228</v>
      </c>
      <c r="AH41" s="104" t="s">
        <v>228</v>
      </c>
      <c r="AI41" s="104" t="s">
        <v>228</v>
      </c>
      <c r="AJ41" s="103" t="s">
        <v>227</v>
      </c>
      <c r="AK41" s="104" t="s">
        <v>228</v>
      </c>
      <c r="AL41" s="104" t="s">
        <v>228</v>
      </c>
      <c r="AM41" s="104" t="s">
        <v>228</v>
      </c>
      <c r="AN41" s="104" t="s">
        <v>228</v>
      </c>
      <c r="AO41" s="104" t="s">
        <v>228</v>
      </c>
      <c r="AP41" s="104" t="s">
        <v>228</v>
      </c>
      <c r="AQ41" s="103" t="s">
        <v>227</v>
      </c>
      <c r="AR41" s="104" t="s">
        <v>228</v>
      </c>
      <c r="AS41" s="104" t="s">
        <v>228</v>
      </c>
      <c r="AT41" s="104" t="s">
        <v>228</v>
      </c>
      <c r="AU41" s="104" t="s">
        <v>228</v>
      </c>
      <c r="AV41" s="104" t="s">
        <v>228</v>
      </c>
      <c r="AW41" s="103" t="s">
        <v>227</v>
      </c>
      <c r="AX41" s="104" t="s">
        <v>228</v>
      </c>
      <c r="AY41" s="104" t="s">
        <v>228</v>
      </c>
      <c r="AZ41" s="104" t="s">
        <v>228</v>
      </c>
      <c r="BA41" s="108" t="n">
        <v>29</v>
      </c>
      <c r="BB41" s="109" t="n">
        <v>25</v>
      </c>
      <c r="BC41" s="109" t="n">
        <v>0</v>
      </c>
      <c r="BD41" s="109" t="n">
        <v>0</v>
      </c>
      <c r="BE41" s="109" t="n">
        <v>0</v>
      </c>
      <c r="BF41" s="109" t="n">
        <v>0</v>
      </c>
      <c r="BG41" s="109" t="n">
        <v>0</v>
      </c>
      <c r="BH41" s="109" t="n">
        <v>0</v>
      </c>
      <c r="BI41" s="109" t="n">
        <v>0</v>
      </c>
      <c r="BJ41" s="109" t="n">
        <v>0</v>
      </c>
      <c r="BK41" s="109" t="n">
        <v>0</v>
      </c>
      <c r="BL41" s="109" t="n">
        <v>4</v>
      </c>
      <c r="BM41" s="109" t="n">
        <v>29</v>
      </c>
      <c r="BN41" s="110"/>
      <c r="BO41" s="111" t="n">
        <v>15</v>
      </c>
      <c r="BP41" s="111" t="n">
        <v>5</v>
      </c>
      <c r="BQ41" s="111" t="n">
        <v>20</v>
      </c>
      <c r="BR41" s="111" t="n">
        <v>4</v>
      </c>
      <c r="BS41" s="111" t="n">
        <v>16</v>
      </c>
    </row>
    <row r="42" customFormat="false" ht="18.75" hidden="false" customHeight="true" outlineLevel="0" collapsed="false">
      <c r="A42" s="112" t="n">
        <v>40</v>
      </c>
      <c r="B42" s="113" t="s">
        <v>419</v>
      </c>
      <c r="C42" s="113" t="s">
        <v>74</v>
      </c>
      <c r="D42" s="113" t="s">
        <v>74</v>
      </c>
      <c r="E42" s="114" t="s">
        <v>420</v>
      </c>
      <c r="F42" s="115" t="s">
        <v>74</v>
      </c>
      <c r="G42" s="113"/>
      <c r="H42" s="113" t="s">
        <v>282</v>
      </c>
      <c r="I42" s="116" t="n">
        <v>46064</v>
      </c>
      <c r="J42" s="100" t="s">
        <v>416</v>
      </c>
      <c r="K42" s="113" t="s">
        <v>220</v>
      </c>
      <c r="L42" s="113" t="s">
        <v>53</v>
      </c>
      <c r="M42" s="113" t="s">
        <v>254</v>
      </c>
      <c r="N42" s="101" t="s">
        <v>222</v>
      </c>
      <c r="O42" s="113" t="s">
        <v>287</v>
      </c>
      <c r="P42" s="113" t="s">
        <v>287</v>
      </c>
      <c r="Q42" s="113"/>
      <c r="R42" s="113"/>
      <c r="S42" s="113"/>
      <c r="T42" s="113" t="s">
        <v>421</v>
      </c>
      <c r="U42" s="113"/>
      <c r="V42" s="119"/>
      <c r="W42" s="104" t="s">
        <v>228</v>
      </c>
      <c r="X42" s="119"/>
      <c r="Y42" s="124" t="s">
        <v>256</v>
      </c>
      <c r="Z42" s="104" t="s">
        <v>228</v>
      </c>
      <c r="AA42" s="104" t="s">
        <v>228</v>
      </c>
      <c r="AB42" s="104" t="s">
        <v>228</v>
      </c>
      <c r="AC42" s="103" t="s">
        <v>227</v>
      </c>
      <c r="AD42" s="104" t="s">
        <v>228</v>
      </c>
      <c r="AE42" s="104" t="s">
        <v>228</v>
      </c>
      <c r="AF42" s="104" t="s">
        <v>228</v>
      </c>
      <c r="AG42" s="104" t="s">
        <v>228</v>
      </c>
      <c r="AH42" s="104" t="s">
        <v>228</v>
      </c>
      <c r="AI42" s="104" t="s">
        <v>228</v>
      </c>
      <c r="AJ42" s="103" t="s">
        <v>227</v>
      </c>
      <c r="AK42" s="104" t="s">
        <v>228</v>
      </c>
      <c r="AL42" s="104" t="s">
        <v>228</v>
      </c>
      <c r="AM42" s="104" t="s">
        <v>228</v>
      </c>
      <c r="AN42" s="104" t="s">
        <v>228</v>
      </c>
      <c r="AO42" s="104" t="s">
        <v>228</v>
      </c>
      <c r="AP42" s="106" t="s">
        <v>229</v>
      </c>
      <c r="AQ42" s="103" t="s">
        <v>227</v>
      </c>
      <c r="AR42" s="104" t="s">
        <v>228</v>
      </c>
      <c r="AS42" s="104" t="s">
        <v>228</v>
      </c>
      <c r="AT42" s="124" t="s">
        <v>256</v>
      </c>
      <c r="AU42" s="124" t="s">
        <v>256</v>
      </c>
      <c r="AV42" s="124" t="s">
        <v>256</v>
      </c>
      <c r="AW42" s="104" t="s">
        <v>228</v>
      </c>
      <c r="AX42" s="119"/>
      <c r="AY42" s="104" t="s">
        <v>228</v>
      </c>
      <c r="AZ42" s="104" t="s">
        <v>228</v>
      </c>
      <c r="BA42" s="120" t="n">
        <v>28</v>
      </c>
      <c r="BB42" s="121" t="n">
        <v>20</v>
      </c>
      <c r="BC42" s="121" t="n">
        <v>0</v>
      </c>
      <c r="BD42" s="121" t="n">
        <v>0</v>
      </c>
      <c r="BE42" s="121" t="n">
        <v>0</v>
      </c>
      <c r="BF42" s="121" t="n">
        <v>1</v>
      </c>
      <c r="BG42" s="121" t="n">
        <v>0</v>
      </c>
      <c r="BH42" s="121" t="n">
        <v>0</v>
      </c>
      <c r="BI42" s="121" t="n">
        <v>0</v>
      </c>
      <c r="BJ42" s="121" t="n">
        <v>0</v>
      </c>
      <c r="BK42" s="121" t="n">
        <v>0</v>
      </c>
      <c r="BL42" s="121" t="n">
        <v>3</v>
      </c>
      <c r="BM42" s="121" t="n">
        <v>24</v>
      </c>
      <c r="BN42" s="122"/>
      <c r="BO42" s="123" t="n">
        <v>15</v>
      </c>
      <c r="BP42" s="123" t="n">
        <v>5</v>
      </c>
      <c r="BQ42" s="123" t="n">
        <v>20</v>
      </c>
      <c r="BR42" s="123" t="n">
        <v>4</v>
      </c>
      <c r="BS42" s="123" t="n">
        <v>16</v>
      </c>
    </row>
    <row r="43" customFormat="false" ht="18.75" hidden="false" customHeight="true" outlineLevel="0" collapsed="false">
      <c r="A43" s="95" t="n">
        <v>41</v>
      </c>
      <c r="B43" s="96" t="s">
        <v>422</v>
      </c>
      <c r="C43" s="96" t="s">
        <v>75</v>
      </c>
      <c r="D43" s="96" t="s">
        <v>75</v>
      </c>
      <c r="E43" s="97" t="s">
        <v>423</v>
      </c>
      <c r="F43" s="98" t="s">
        <v>75</v>
      </c>
      <c r="G43" s="96"/>
      <c r="H43" s="96" t="s">
        <v>219</v>
      </c>
      <c r="I43" s="99" t="n">
        <v>46064</v>
      </c>
      <c r="J43" s="100" t="s">
        <v>416</v>
      </c>
      <c r="K43" s="96" t="s">
        <v>220</v>
      </c>
      <c r="L43" s="96" t="s">
        <v>53</v>
      </c>
      <c r="M43" s="96" t="s">
        <v>254</v>
      </c>
      <c r="N43" s="101" t="s">
        <v>222</v>
      </c>
      <c r="O43" s="96" t="s">
        <v>247</v>
      </c>
      <c r="P43" s="96" t="s">
        <v>287</v>
      </c>
      <c r="Q43" s="96"/>
      <c r="R43" s="96"/>
      <c r="S43" s="96"/>
      <c r="T43" s="96" t="s">
        <v>424</v>
      </c>
      <c r="U43" s="96"/>
      <c r="V43" s="107"/>
      <c r="W43" s="104" t="s">
        <v>228</v>
      </c>
      <c r="X43" s="107"/>
      <c r="Y43" s="104" t="s">
        <v>228</v>
      </c>
      <c r="Z43" s="104" t="s">
        <v>228</v>
      </c>
      <c r="AA43" s="104" t="s">
        <v>228</v>
      </c>
      <c r="AB43" s="104" t="s">
        <v>228</v>
      </c>
      <c r="AC43" s="124" t="s">
        <v>256</v>
      </c>
      <c r="AD43" s="104" t="s">
        <v>228</v>
      </c>
      <c r="AE43" s="104" t="s">
        <v>228</v>
      </c>
      <c r="AF43" s="104" t="s">
        <v>228</v>
      </c>
      <c r="AG43" s="124" t="s">
        <v>256</v>
      </c>
      <c r="AH43" s="104" t="s">
        <v>228</v>
      </c>
      <c r="AI43" s="104" t="s">
        <v>228</v>
      </c>
      <c r="AJ43" s="103" t="s">
        <v>227</v>
      </c>
      <c r="AK43" s="104" t="s">
        <v>228</v>
      </c>
      <c r="AL43" s="104" t="s">
        <v>228</v>
      </c>
      <c r="AM43" s="104" t="s">
        <v>228</v>
      </c>
      <c r="AN43" s="104" t="s">
        <v>228</v>
      </c>
      <c r="AO43" s="104" t="s">
        <v>228</v>
      </c>
      <c r="AP43" s="104" t="s">
        <v>228</v>
      </c>
      <c r="AQ43" s="103" t="s">
        <v>227</v>
      </c>
      <c r="AR43" s="104" t="s">
        <v>228</v>
      </c>
      <c r="AS43" s="104" t="s">
        <v>228</v>
      </c>
      <c r="AT43" s="104" t="s">
        <v>228</v>
      </c>
      <c r="AU43" s="106" t="s">
        <v>229</v>
      </c>
      <c r="AV43" s="104" t="s">
        <v>228</v>
      </c>
      <c r="AW43" s="103" t="s">
        <v>227</v>
      </c>
      <c r="AX43" s="104" t="s">
        <v>228</v>
      </c>
      <c r="AY43" s="104" t="s">
        <v>228</v>
      </c>
      <c r="AZ43" s="104" t="s">
        <v>228</v>
      </c>
      <c r="BA43" s="108" t="n">
        <v>29</v>
      </c>
      <c r="BB43" s="109" t="n">
        <v>23</v>
      </c>
      <c r="BC43" s="109" t="n">
        <v>0</v>
      </c>
      <c r="BD43" s="109" t="n">
        <v>0</v>
      </c>
      <c r="BE43" s="109" t="n">
        <v>0</v>
      </c>
      <c r="BF43" s="109" t="n">
        <v>1</v>
      </c>
      <c r="BG43" s="109" t="n">
        <v>0</v>
      </c>
      <c r="BH43" s="109" t="n">
        <v>0</v>
      </c>
      <c r="BI43" s="109" t="n">
        <v>0</v>
      </c>
      <c r="BJ43" s="109" t="n">
        <v>0</v>
      </c>
      <c r="BK43" s="109" t="n">
        <v>0</v>
      </c>
      <c r="BL43" s="109" t="n">
        <v>3</v>
      </c>
      <c r="BM43" s="109" t="n">
        <v>27</v>
      </c>
      <c r="BN43" s="110"/>
      <c r="BO43" s="111" t="n">
        <v>15</v>
      </c>
      <c r="BP43" s="111" t="n">
        <v>5</v>
      </c>
      <c r="BQ43" s="111" t="n">
        <v>20</v>
      </c>
      <c r="BR43" s="111" t="n">
        <v>4</v>
      </c>
      <c r="BS43" s="111" t="n">
        <v>16</v>
      </c>
    </row>
    <row r="44" customFormat="false" ht="18.75" hidden="false" customHeight="true" outlineLevel="0" collapsed="false">
      <c r="A44" s="112" t="n">
        <v>42</v>
      </c>
      <c r="B44" s="113" t="s">
        <v>425</v>
      </c>
      <c r="C44" s="113" t="s">
        <v>56</v>
      </c>
      <c r="D44" s="113" t="s">
        <v>56</v>
      </c>
      <c r="E44" s="114" t="s">
        <v>426</v>
      </c>
      <c r="F44" s="115" t="s">
        <v>56</v>
      </c>
      <c r="G44" s="113"/>
      <c r="H44" s="113" t="s">
        <v>219</v>
      </c>
      <c r="I44" s="116" t="n">
        <v>46064</v>
      </c>
      <c r="J44" s="100" t="s">
        <v>416</v>
      </c>
      <c r="K44" s="113" t="s">
        <v>220</v>
      </c>
      <c r="L44" s="113" t="s">
        <v>53</v>
      </c>
      <c r="M44" s="113" t="s">
        <v>254</v>
      </c>
      <c r="N44" s="101" t="s">
        <v>222</v>
      </c>
      <c r="O44" s="113" t="s">
        <v>287</v>
      </c>
      <c r="P44" s="113" t="s">
        <v>287</v>
      </c>
      <c r="Q44" s="113"/>
      <c r="R44" s="113"/>
      <c r="S44" s="113" t="s">
        <v>427</v>
      </c>
      <c r="T44" s="113" t="s">
        <v>241</v>
      </c>
      <c r="U44" s="113"/>
      <c r="V44" s="119"/>
      <c r="W44" s="104" t="s">
        <v>228</v>
      </c>
      <c r="X44" s="119"/>
      <c r="Y44" s="104" t="s">
        <v>228</v>
      </c>
      <c r="Z44" s="104" t="s">
        <v>228</v>
      </c>
      <c r="AA44" s="104" t="s">
        <v>228</v>
      </c>
      <c r="AB44" s="104" t="s">
        <v>228</v>
      </c>
      <c r="AC44" s="103" t="s">
        <v>227</v>
      </c>
      <c r="AD44" s="104" t="s">
        <v>228</v>
      </c>
      <c r="AE44" s="104" t="s">
        <v>228</v>
      </c>
      <c r="AF44" s="124" t="s">
        <v>256</v>
      </c>
      <c r="AG44" s="104" t="s">
        <v>228</v>
      </c>
      <c r="AH44" s="104" t="s">
        <v>228</v>
      </c>
      <c r="AI44" s="124" t="s">
        <v>256</v>
      </c>
      <c r="AJ44" s="103" t="s">
        <v>227</v>
      </c>
      <c r="AK44" s="104" t="s">
        <v>228</v>
      </c>
      <c r="AL44" s="104" t="s">
        <v>228</v>
      </c>
      <c r="AM44" s="104" t="s">
        <v>228</v>
      </c>
      <c r="AN44" s="104" t="s">
        <v>228</v>
      </c>
      <c r="AO44" s="104" t="s">
        <v>228</v>
      </c>
      <c r="AP44" s="104" t="s">
        <v>228</v>
      </c>
      <c r="AQ44" s="103" t="s">
        <v>227</v>
      </c>
      <c r="AR44" s="104" t="s">
        <v>228</v>
      </c>
      <c r="AS44" s="104" t="s">
        <v>228</v>
      </c>
      <c r="AT44" s="104" t="s">
        <v>228</v>
      </c>
      <c r="AU44" s="106" t="s">
        <v>229</v>
      </c>
      <c r="AV44" s="104" t="s">
        <v>228</v>
      </c>
      <c r="AW44" s="104" t="s">
        <v>228</v>
      </c>
      <c r="AX44" s="103" t="s">
        <v>227</v>
      </c>
      <c r="AY44" s="104" t="s">
        <v>228</v>
      </c>
      <c r="AZ44" s="104" t="s">
        <v>228</v>
      </c>
      <c r="BA44" s="120" t="n">
        <v>29</v>
      </c>
      <c r="BB44" s="121" t="n">
        <v>22</v>
      </c>
      <c r="BC44" s="121" t="n">
        <v>0</v>
      </c>
      <c r="BD44" s="121" t="n">
        <v>0</v>
      </c>
      <c r="BE44" s="121" t="n">
        <v>0</v>
      </c>
      <c r="BF44" s="121" t="n">
        <v>1</v>
      </c>
      <c r="BG44" s="121" t="n">
        <v>0</v>
      </c>
      <c r="BH44" s="121" t="n">
        <v>0</v>
      </c>
      <c r="BI44" s="121" t="n">
        <v>0</v>
      </c>
      <c r="BJ44" s="121" t="n">
        <v>0</v>
      </c>
      <c r="BK44" s="121" t="n">
        <v>0</v>
      </c>
      <c r="BL44" s="121" t="n">
        <v>4</v>
      </c>
      <c r="BM44" s="121" t="n">
        <v>27</v>
      </c>
      <c r="BN44" s="122"/>
      <c r="BO44" s="123" t="n">
        <v>15</v>
      </c>
      <c r="BP44" s="123" t="n">
        <v>5</v>
      </c>
      <c r="BQ44" s="123" t="n">
        <v>20</v>
      </c>
      <c r="BR44" s="123" t="n">
        <v>4</v>
      </c>
      <c r="BS44" s="123" t="n">
        <v>16</v>
      </c>
    </row>
    <row r="45" customFormat="false" ht="18.75" hidden="false" customHeight="true" outlineLevel="0" collapsed="false">
      <c r="A45" s="95" t="n">
        <v>43</v>
      </c>
      <c r="B45" s="96" t="s">
        <v>428</v>
      </c>
      <c r="C45" s="96" t="s">
        <v>429</v>
      </c>
      <c r="D45" s="96" t="s">
        <v>429</v>
      </c>
      <c r="E45" s="97" t="s">
        <v>430</v>
      </c>
      <c r="F45" s="98" t="s">
        <v>429</v>
      </c>
      <c r="G45" s="96"/>
      <c r="H45" s="96" t="s">
        <v>282</v>
      </c>
      <c r="I45" s="99" t="n">
        <v>46064</v>
      </c>
      <c r="J45" s="100" t="s">
        <v>416</v>
      </c>
      <c r="K45" s="96" t="s">
        <v>220</v>
      </c>
      <c r="L45" s="96" t="s">
        <v>53</v>
      </c>
      <c r="M45" s="96" t="s">
        <v>254</v>
      </c>
      <c r="N45" s="128" t="s">
        <v>311</v>
      </c>
      <c r="O45" s="96" t="s">
        <v>287</v>
      </c>
      <c r="P45" s="96" t="s">
        <v>287</v>
      </c>
      <c r="Q45" s="96"/>
      <c r="R45" s="96"/>
      <c r="S45" s="96"/>
      <c r="T45" s="96" t="s">
        <v>241</v>
      </c>
      <c r="U45" s="96"/>
      <c r="V45" s="103" t="s">
        <v>227</v>
      </c>
      <c r="W45" s="104" t="s">
        <v>228</v>
      </c>
      <c r="X45" s="104" t="s">
        <v>228</v>
      </c>
      <c r="Y45" s="124" t="s">
        <v>256</v>
      </c>
      <c r="Z45" s="104" t="s">
        <v>228</v>
      </c>
      <c r="AA45" s="104" t="s">
        <v>228</v>
      </c>
      <c r="AB45" s="104" t="s">
        <v>228</v>
      </c>
      <c r="AC45" s="103" t="s">
        <v>227</v>
      </c>
      <c r="AD45" s="104" t="s">
        <v>228</v>
      </c>
      <c r="AE45" s="104" t="s">
        <v>228</v>
      </c>
      <c r="AF45" s="125" t="s">
        <v>201</v>
      </c>
      <c r="AG45" s="124" t="s">
        <v>256</v>
      </c>
      <c r="AH45" s="124" t="s">
        <v>256</v>
      </c>
      <c r="AI45" s="124" t="s">
        <v>256</v>
      </c>
      <c r="AJ45" s="103" t="s">
        <v>227</v>
      </c>
      <c r="AK45" s="124" t="s">
        <v>256</v>
      </c>
      <c r="AL45" s="124" t="s">
        <v>256</v>
      </c>
      <c r="AM45" s="125" t="s">
        <v>201</v>
      </c>
      <c r="AN45" s="104" t="s">
        <v>228</v>
      </c>
      <c r="AO45" s="104" t="s">
        <v>228</v>
      </c>
      <c r="AP45" s="106" t="s">
        <v>229</v>
      </c>
      <c r="AQ45" s="103" t="s">
        <v>227</v>
      </c>
      <c r="AR45" s="104" t="s">
        <v>228</v>
      </c>
      <c r="AS45" s="125" t="s">
        <v>201</v>
      </c>
      <c r="AT45" s="130" t="s">
        <v>394</v>
      </c>
      <c r="AU45" s="130" t="s">
        <v>394</v>
      </c>
      <c r="AV45" s="130" t="s">
        <v>394</v>
      </c>
      <c r="AW45" s="130" t="s">
        <v>394</v>
      </c>
      <c r="AX45" s="130" t="s">
        <v>394</v>
      </c>
      <c r="AY45" s="130" t="s">
        <v>394</v>
      </c>
      <c r="AZ45" s="130" t="s">
        <v>394</v>
      </c>
      <c r="BA45" s="108" t="n">
        <v>23</v>
      </c>
      <c r="BB45" s="109" t="n">
        <v>10</v>
      </c>
      <c r="BC45" s="109" t="n">
        <v>3</v>
      </c>
      <c r="BD45" s="109" t="n">
        <v>0</v>
      </c>
      <c r="BE45" s="109" t="n">
        <v>0</v>
      </c>
      <c r="BF45" s="109" t="n">
        <v>1</v>
      </c>
      <c r="BG45" s="109" t="n">
        <v>0</v>
      </c>
      <c r="BH45" s="109" t="n">
        <v>0</v>
      </c>
      <c r="BI45" s="109" t="n">
        <v>0</v>
      </c>
      <c r="BJ45" s="109" t="n">
        <v>0</v>
      </c>
      <c r="BK45" s="109" t="n">
        <v>0</v>
      </c>
      <c r="BL45" s="109" t="n">
        <v>3</v>
      </c>
      <c r="BM45" s="109" t="n">
        <v>15.5</v>
      </c>
      <c r="BN45" s="110"/>
      <c r="BO45" s="111" t="n">
        <v>15</v>
      </c>
      <c r="BP45" s="111" t="n">
        <v>5</v>
      </c>
      <c r="BQ45" s="111" t="n">
        <v>20</v>
      </c>
      <c r="BR45" s="111" t="n">
        <v>4</v>
      </c>
      <c r="BS45" s="111" t="n">
        <v>16</v>
      </c>
    </row>
    <row r="46" customFormat="false" ht="18.75" hidden="false" customHeight="true" outlineLevel="0" collapsed="false">
      <c r="A46" s="112" t="n">
        <v>44</v>
      </c>
      <c r="B46" s="113" t="s">
        <v>431</v>
      </c>
      <c r="C46" s="113" t="s">
        <v>52</v>
      </c>
      <c r="D46" s="113" t="s">
        <v>52</v>
      </c>
      <c r="E46" s="114" t="s">
        <v>432</v>
      </c>
      <c r="F46" s="115" t="s">
        <v>52</v>
      </c>
      <c r="G46" s="113"/>
      <c r="H46" s="113" t="s">
        <v>282</v>
      </c>
      <c r="I46" s="116" t="n">
        <v>46064</v>
      </c>
      <c r="J46" s="100" t="s">
        <v>416</v>
      </c>
      <c r="K46" s="113" t="s">
        <v>220</v>
      </c>
      <c r="L46" s="113" t="s">
        <v>53</v>
      </c>
      <c r="M46" s="113" t="s">
        <v>254</v>
      </c>
      <c r="N46" s="101" t="s">
        <v>222</v>
      </c>
      <c r="O46" s="113" t="s">
        <v>287</v>
      </c>
      <c r="P46" s="113" t="s">
        <v>287</v>
      </c>
      <c r="Q46" s="113"/>
      <c r="R46" s="113"/>
      <c r="S46" s="113"/>
      <c r="T46" s="113" t="s">
        <v>421</v>
      </c>
      <c r="U46" s="113"/>
      <c r="V46" s="119"/>
      <c r="W46" s="104" t="s">
        <v>228</v>
      </c>
      <c r="X46" s="119"/>
      <c r="Y46" s="104" t="s">
        <v>228</v>
      </c>
      <c r="Z46" s="104" t="s">
        <v>228</v>
      </c>
      <c r="AA46" s="104" t="s">
        <v>228</v>
      </c>
      <c r="AB46" s="104" t="s">
        <v>228</v>
      </c>
      <c r="AC46" s="103" t="s">
        <v>227</v>
      </c>
      <c r="AD46" s="125" t="s">
        <v>201</v>
      </c>
      <c r="AE46" s="104" t="s">
        <v>228</v>
      </c>
      <c r="AF46" s="104" t="s">
        <v>228</v>
      </c>
      <c r="AG46" s="104" t="s">
        <v>228</v>
      </c>
      <c r="AH46" s="104" t="s">
        <v>228</v>
      </c>
      <c r="AI46" s="104" t="s">
        <v>228</v>
      </c>
      <c r="AJ46" s="103" t="s">
        <v>227</v>
      </c>
      <c r="AK46" s="104" t="s">
        <v>228</v>
      </c>
      <c r="AL46" s="104" t="s">
        <v>228</v>
      </c>
      <c r="AM46" s="104" t="s">
        <v>228</v>
      </c>
      <c r="AN46" s="104" t="s">
        <v>228</v>
      </c>
      <c r="AO46" s="104" t="s">
        <v>228</v>
      </c>
      <c r="AP46" s="106" t="s">
        <v>229</v>
      </c>
      <c r="AQ46" s="103" t="s">
        <v>227</v>
      </c>
      <c r="AR46" s="104" t="s">
        <v>228</v>
      </c>
      <c r="AS46" s="104" t="s">
        <v>228</v>
      </c>
      <c r="AT46" s="104" t="s">
        <v>228</v>
      </c>
      <c r="AU46" s="104" t="s">
        <v>228</v>
      </c>
      <c r="AV46" s="104" t="s">
        <v>228</v>
      </c>
      <c r="AW46" s="104" t="s">
        <v>228</v>
      </c>
      <c r="AX46" s="103" t="s">
        <v>227</v>
      </c>
      <c r="AY46" s="104" t="s">
        <v>228</v>
      </c>
      <c r="AZ46" s="104" t="s">
        <v>228</v>
      </c>
      <c r="BA46" s="120" t="n">
        <v>29</v>
      </c>
      <c r="BB46" s="121" t="n">
        <v>23</v>
      </c>
      <c r="BC46" s="121" t="n">
        <v>1</v>
      </c>
      <c r="BD46" s="121" t="n">
        <v>0</v>
      </c>
      <c r="BE46" s="121" t="n">
        <v>0</v>
      </c>
      <c r="BF46" s="121" t="n">
        <v>1</v>
      </c>
      <c r="BG46" s="121" t="n">
        <v>0</v>
      </c>
      <c r="BH46" s="121" t="n">
        <v>0</v>
      </c>
      <c r="BI46" s="121" t="n">
        <v>0</v>
      </c>
      <c r="BJ46" s="121" t="n">
        <v>0</v>
      </c>
      <c r="BK46" s="121" t="n">
        <v>0</v>
      </c>
      <c r="BL46" s="121" t="n">
        <v>4</v>
      </c>
      <c r="BM46" s="121" t="n">
        <v>28.5</v>
      </c>
      <c r="BN46" s="122"/>
      <c r="BO46" s="123" t="n">
        <v>15</v>
      </c>
      <c r="BP46" s="123" t="n">
        <v>5</v>
      </c>
      <c r="BQ46" s="123" t="n">
        <v>20</v>
      </c>
      <c r="BR46" s="123" t="n">
        <v>4</v>
      </c>
      <c r="BS46" s="123" t="n">
        <v>16</v>
      </c>
    </row>
    <row r="47" customFormat="false" ht="18.75" hidden="false" customHeight="true" outlineLevel="0" collapsed="false">
      <c r="A47" s="95" t="n">
        <v>46</v>
      </c>
      <c r="B47" s="96" t="s">
        <v>433</v>
      </c>
      <c r="C47" s="96" t="s">
        <v>434</v>
      </c>
      <c r="D47" s="96" t="s">
        <v>434</v>
      </c>
      <c r="E47" s="97" t="s">
        <v>435</v>
      </c>
      <c r="F47" s="98" t="s">
        <v>434</v>
      </c>
      <c r="G47" s="96"/>
      <c r="H47" s="96" t="s">
        <v>219</v>
      </c>
      <c r="I47" s="99" t="n">
        <v>46064</v>
      </c>
      <c r="J47" s="100" t="s">
        <v>416</v>
      </c>
      <c r="K47" s="96" t="s">
        <v>220</v>
      </c>
      <c r="L47" s="96" t="s">
        <v>53</v>
      </c>
      <c r="M47" s="96" t="s">
        <v>254</v>
      </c>
      <c r="N47" s="101" t="s">
        <v>222</v>
      </c>
      <c r="O47" s="96" t="s">
        <v>287</v>
      </c>
      <c r="P47" s="96" t="s">
        <v>287</v>
      </c>
      <c r="Q47" s="96"/>
      <c r="R47" s="96"/>
      <c r="S47" s="96" t="s">
        <v>436</v>
      </c>
      <c r="T47" s="96" t="s">
        <v>241</v>
      </c>
      <c r="U47" s="96"/>
      <c r="V47" s="107"/>
      <c r="W47" s="104" t="s">
        <v>228</v>
      </c>
      <c r="X47" s="107"/>
      <c r="Y47" s="104" t="s">
        <v>228</v>
      </c>
      <c r="Z47" s="104" t="s">
        <v>228</v>
      </c>
      <c r="AA47" s="104" t="s">
        <v>228</v>
      </c>
      <c r="AB47" s="104" t="s">
        <v>228</v>
      </c>
      <c r="AC47" s="103" t="s">
        <v>227</v>
      </c>
      <c r="AD47" s="104" t="s">
        <v>228</v>
      </c>
      <c r="AE47" s="104" t="s">
        <v>228</v>
      </c>
      <c r="AF47" s="104" t="s">
        <v>228</v>
      </c>
      <c r="AG47" s="104" t="s">
        <v>228</v>
      </c>
      <c r="AH47" s="104" t="s">
        <v>228</v>
      </c>
      <c r="AI47" s="124" t="s">
        <v>256</v>
      </c>
      <c r="AJ47" s="103" t="s">
        <v>227</v>
      </c>
      <c r="AK47" s="104" t="s">
        <v>228</v>
      </c>
      <c r="AL47" s="104" t="s">
        <v>228</v>
      </c>
      <c r="AM47" s="104" t="s">
        <v>228</v>
      </c>
      <c r="AN47" s="104" t="s">
        <v>228</v>
      </c>
      <c r="AO47" s="104" t="s">
        <v>228</v>
      </c>
      <c r="AP47" s="124" t="s">
        <v>256</v>
      </c>
      <c r="AQ47" s="103" t="s">
        <v>227</v>
      </c>
      <c r="AR47" s="124" t="s">
        <v>256</v>
      </c>
      <c r="AS47" s="104" t="s">
        <v>228</v>
      </c>
      <c r="AT47" s="104" t="s">
        <v>228</v>
      </c>
      <c r="AU47" s="104" t="s">
        <v>228</v>
      </c>
      <c r="AV47" s="105" t="s">
        <v>205</v>
      </c>
      <c r="AW47" s="104" t="s">
        <v>228</v>
      </c>
      <c r="AX47" s="103" t="s">
        <v>227</v>
      </c>
      <c r="AY47" s="104" t="s">
        <v>228</v>
      </c>
      <c r="AZ47" s="104" t="s">
        <v>228</v>
      </c>
      <c r="BA47" s="108" t="n">
        <v>29</v>
      </c>
      <c r="BB47" s="109" t="n">
        <v>21</v>
      </c>
      <c r="BC47" s="109" t="n">
        <v>0</v>
      </c>
      <c r="BD47" s="109" t="n">
        <v>0</v>
      </c>
      <c r="BE47" s="109" t="n">
        <v>0</v>
      </c>
      <c r="BF47" s="109" t="n">
        <v>0</v>
      </c>
      <c r="BG47" s="109" t="n">
        <v>1</v>
      </c>
      <c r="BH47" s="109" t="n">
        <v>0</v>
      </c>
      <c r="BI47" s="109" t="n">
        <v>0</v>
      </c>
      <c r="BJ47" s="109" t="n">
        <v>0</v>
      </c>
      <c r="BK47" s="109" t="n">
        <v>0</v>
      </c>
      <c r="BL47" s="109" t="n">
        <v>4</v>
      </c>
      <c r="BM47" s="109" t="n">
        <v>26</v>
      </c>
      <c r="BN47" s="110"/>
      <c r="BO47" s="111" t="n">
        <v>15</v>
      </c>
      <c r="BP47" s="111" t="n">
        <v>5</v>
      </c>
      <c r="BQ47" s="111" t="n">
        <v>20</v>
      </c>
      <c r="BR47" s="111" t="n">
        <v>4</v>
      </c>
      <c r="BS47" s="111" t="n">
        <v>16</v>
      </c>
    </row>
    <row r="48" customFormat="false" ht="18.75" hidden="false" customHeight="true" outlineLevel="0" collapsed="false">
      <c r="A48" s="112" t="n">
        <v>47</v>
      </c>
      <c r="B48" s="113" t="s">
        <v>437</v>
      </c>
      <c r="C48" s="113" t="s">
        <v>60</v>
      </c>
      <c r="D48" s="113" t="s">
        <v>60</v>
      </c>
      <c r="E48" s="114" t="s">
        <v>438</v>
      </c>
      <c r="F48" s="115" t="s">
        <v>60</v>
      </c>
      <c r="G48" s="113"/>
      <c r="H48" s="113" t="s">
        <v>282</v>
      </c>
      <c r="I48" s="116" t="n">
        <v>46064</v>
      </c>
      <c r="J48" s="100" t="s">
        <v>416</v>
      </c>
      <c r="K48" s="113" t="s">
        <v>220</v>
      </c>
      <c r="L48" s="113" t="s">
        <v>53</v>
      </c>
      <c r="M48" s="113" t="s">
        <v>254</v>
      </c>
      <c r="N48" s="101" t="s">
        <v>222</v>
      </c>
      <c r="O48" s="113" t="s">
        <v>287</v>
      </c>
      <c r="P48" s="113" t="s">
        <v>287</v>
      </c>
      <c r="Q48" s="113"/>
      <c r="R48" s="113"/>
      <c r="S48" s="113"/>
      <c r="T48" s="113" t="s">
        <v>439</v>
      </c>
      <c r="U48" s="113"/>
      <c r="V48" s="119"/>
      <c r="W48" s="104" t="s">
        <v>228</v>
      </c>
      <c r="X48" s="119"/>
      <c r="Y48" s="104" t="s">
        <v>228</v>
      </c>
      <c r="Z48" s="104" t="s">
        <v>228</v>
      </c>
      <c r="AA48" s="104" t="s">
        <v>228</v>
      </c>
      <c r="AB48" s="104" t="s">
        <v>228</v>
      </c>
      <c r="AC48" s="103" t="s">
        <v>227</v>
      </c>
      <c r="AD48" s="104" t="s">
        <v>228</v>
      </c>
      <c r="AE48" s="104" t="s">
        <v>228</v>
      </c>
      <c r="AF48" s="104" t="s">
        <v>228</v>
      </c>
      <c r="AG48" s="104" t="s">
        <v>228</v>
      </c>
      <c r="AH48" s="125" t="s">
        <v>201</v>
      </c>
      <c r="AI48" s="104" t="s">
        <v>228</v>
      </c>
      <c r="AJ48" s="103" t="s">
        <v>227</v>
      </c>
      <c r="AK48" s="104" t="s">
        <v>228</v>
      </c>
      <c r="AL48" s="124" t="s">
        <v>256</v>
      </c>
      <c r="AM48" s="104" t="s">
        <v>228</v>
      </c>
      <c r="AN48" s="124" t="s">
        <v>256</v>
      </c>
      <c r="AO48" s="124" t="s">
        <v>256</v>
      </c>
      <c r="AP48" s="106" t="s">
        <v>229</v>
      </c>
      <c r="AQ48" s="103" t="s">
        <v>227</v>
      </c>
      <c r="AR48" s="124" t="s">
        <v>256</v>
      </c>
      <c r="AS48" s="124" t="s">
        <v>256</v>
      </c>
      <c r="AT48" s="124" t="s">
        <v>256</v>
      </c>
      <c r="AU48" s="104" t="s">
        <v>228</v>
      </c>
      <c r="AV48" s="124" t="s">
        <v>256</v>
      </c>
      <c r="AW48" s="104" t="s">
        <v>228</v>
      </c>
      <c r="AX48" s="103" t="s">
        <v>227</v>
      </c>
      <c r="AY48" s="104" t="s">
        <v>228</v>
      </c>
      <c r="AZ48" s="104" t="s">
        <v>228</v>
      </c>
      <c r="BA48" s="120" t="n">
        <v>29</v>
      </c>
      <c r="BB48" s="121" t="n">
        <v>16</v>
      </c>
      <c r="BC48" s="121" t="n">
        <v>1</v>
      </c>
      <c r="BD48" s="121" t="n">
        <v>0</v>
      </c>
      <c r="BE48" s="121" t="n">
        <v>0</v>
      </c>
      <c r="BF48" s="121" t="n">
        <v>1</v>
      </c>
      <c r="BG48" s="121" t="n">
        <v>0</v>
      </c>
      <c r="BH48" s="121" t="n">
        <v>0</v>
      </c>
      <c r="BI48" s="121" t="n">
        <v>0</v>
      </c>
      <c r="BJ48" s="121" t="n">
        <v>0</v>
      </c>
      <c r="BK48" s="121" t="n">
        <v>0</v>
      </c>
      <c r="BL48" s="121" t="n">
        <v>4</v>
      </c>
      <c r="BM48" s="121" t="n">
        <v>21.5</v>
      </c>
      <c r="BN48" s="122"/>
      <c r="BO48" s="123" t="n">
        <v>15</v>
      </c>
      <c r="BP48" s="123" t="n">
        <v>5</v>
      </c>
      <c r="BQ48" s="123" t="n">
        <v>20</v>
      </c>
      <c r="BR48" s="123" t="n">
        <v>4</v>
      </c>
      <c r="BS48" s="123" t="n">
        <v>16</v>
      </c>
    </row>
    <row r="49" customFormat="false" ht="18.75" hidden="false" customHeight="true" outlineLevel="0" collapsed="false">
      <c r="A49" s="95" t="n">
        <v>48</v>
      </c>
      <c r="B49" s="96" t="s">
        <v>440</v>
      </c>
      <c r="C49" s="96" t="s">
        <v>66</v>
      </c>
      <c r="D49" s="96" t="s">
        <v>66</v>
      </c>
      <c r="E49" s="97" t="s">
        <v>441</v>
      </c>
      <c r="F49" s="98" t="s">
        <v>66</v>
      </c>
      <c r="G49" s="96"/>
      <c r="H49" s="96" t="s">
        <v>282</v>
      </c>
      <c r="I49" s="99" t="n">
        <v>46064</v>
      </c>
      <c r="J49" s="100" t="s">
        <v>416</v>
      </c>
      <c r="K49" s="96" t="s">
        <v>220</v>
      </c>
      <c r="L49" s="96" t="s">
        <v>53</v>
      </c>
      <c r="M49" s="96" t="s">
        <v>254</v>
      </c>
      <c r="N49" s="101" t="s">
        <v>222</v>
      </c>
      <c r="O49" s="96" t="s">
        <v>287</v>
      </c>
      <c r="P49" s="96" t="s">
        <v>287</v>
      </c>
      <c r="Q49" s="96"/>
      <c r="R49" s="96"/>
      <c r="S49" s="96" t="s">
        <v>442</v>
      </c>
      <c r="T49" s="96" t="s">
        <v>421</v>
      </c>
      <c r="U49" s="96"/>
      <c r="V49" s="107"/>
      <c r="W49" s="104" t="s">
        <v>228</v>
      </c>
      <c r="X49" s="107"/>
      <c r="Y49" s="104" t="s">
        <v>228</v>
      </c>
      <c r="Z49" s="104" t="s">
        <v>228</v>
      </c>
      <c r="AA49" s="104" t="s">
        <v>228</v>
      </c>
      <c r="AB49" s="104" t="s">
        <v>228</v>
      </c>
      <c r="AC49" s="103" t="s">
        <v>227</v>
      </c>
      <c r="AD49" s="104" t="s">
        <v>228</v>
      </c>
      <c r="AE49" s="104" t="s">
        <v>228</v>
      </c>
      <c r="AF49" s="104" t="s">
        <v>228</v>
      </c>
      <c r="AG49" s="104" t="s">
        <v>228</v>
      </c>
      <c r="AH49" s="104" t="s">
        <v>228</v>
      </c>
      <c r="AI49" s="104" t="s">
        <v>228</v>
      </c>
      <c r="AJ49" s="103" t="s">
        <v>227</v>
      </c>
      <c r="AK49" s="104" t="s">
        <v>228</v>
      </c>
      <c r="AL49" s="104" t="s">
        <v>228</v>
      </c>
      <c r="AM49" s="104" t="s">
        <v>228</v>
      </c>
      <c r="AN49" s="104" t="s">
        <v>228</v>
      </c>
      <c r="AO49" s="104" t="s">
        <v>228</v>
      </c>
      <c r="AP49" s="106" t="s">
        <v>229</v>
      </c>
      <c r="AQ49" s="103" t="s">
        <v>227</v>
      </c>
      <c r="AR49" s="104" t="s">
        <v>228</v>
      </c>
      <c r="AS49" s="104" t="s">
        <v>228</v>
      </c>
      <c r="AT49" s="104" t="s">
        <v>228</v>
      </c>
      <c r="AU49" s="104" t="s">
        <v>228</v>
      </c>
      <c r="AV49" s="104" t="s">
        <v>228</v>
      </c>
      <c r="AW49" s="103" t="s">
        <v>227</v>
      </c>
      <c r="AX49" s="104" t="s">
        <v>228</v>
      </c>
      <c r="AY49" s="104" t="s">
        <v>228</v>
      </c>
      <c r="AZ49" s="104" t="s">
        <v>228</v>
      </c>
      <c r="BA49" s="108" t="n">
        <v>29</v>
      </c>
      <c r="BB49" s="109" t="n">
        <v>24</v>
      </c>
      <c r="BC49" s="109" t="n">
        <v>0</v>
      </c>
      <c r="BD49" s="109" t="n">
        <v>0</v>
      </c>
      <c r="BE49" s="109" t="n">
        <v>0</v>
      </c>
      <c r="BF49" s="109" t="n">
        <v>1</v>
      </c>
      <c r="BG49" s="109" t="n">
        <v>0</v>
      </c>
      <c r="BH49" s="109" t="n">
        <v>0</v>
      </c>
      <c r="BI49" s="109" t="n">
        <v>0</v>
      </c>
      <c r="BJ49" s="109" t="n">
        <v>0</v>
      </c>
      <c r="BK49" s="109" t="n">
        <v>0</v>
      </c>
      <c r="BL49" s="109" t="n">
        <v>4</v>
      </c>
      <c r="BM49" s="109" t="n">
        <v>29</v>
      </c>
      <c r="BN49" s="110"/>
      <c r="BO49" s="111" t="n">
        <v>15</v>
      </c>
      <c r="BP49" s="111" t="n">
        <v>5</v>
      </c>
      <c r="BQ49" s="111" t="n">
        <v>20</v>
      </c>
      <c r="BR49" s="111" t="n">
        <v>4</v>
      </c>
      <c r="BS49" s="111" t="n">
        <v>16</v>
      </c>
    </row>
    <row r="50" customFormat="false" ht="18.75" hidden="false" customHeight="true" outlineLevel="0" collapsed="false">
      <c r="A50" s="112" t="n">
        <v>49</v>
      </c>
      <c r="B50" s="113" t="s">
        <v>443</v>
      </c>
      <c r="C50" s="113" t="s">
        <v>444</v>
      </c>
      <c r="D50" s="113" t="s">
        <v>64</v>
      </c>
      <c r="E50" s="114" t="s">
        <v>445</v>
      </c>
      <c r="F50" s="115" t="s">
        <v>64</v>
      </c>
      <c r="G50" s="113"/>
      <c r="H50" s="113" t="s">
        <v>219</v>
      </c>
      <c r="I50" s="116" t="n">
        <v>46064</v>
      </c>
      <c r="J50" s="100" t="s">
        <v>416</v>
      </c>
      <c r="K50" s="113" t="s">
        <v>220</v>
      </c>
      <c r="L50" s="113" t="s">
        <v>53</v>
      </c>
      <c r="M50" s="113" t="s">
        <v>254</v>
      </c>
      <c r="N50" s="101" t="s">
        <v>222</v>
      </c>
      <c r="O50" s="113" t="s">
        <v>287</v>
      </c>
      <c r="P50" s="113" t="s">
        <v>287</v>
      </c>
      <c r="Q50" s="113"/>
      <c r="R50" s="113"/>
      <c r="S50" s="113"/>
      <c r="T50" s="113" t="s">
        <v>241</v>
      </c>
      <c r="U50" s="113"/>
      <c r="V50" s="119"/>
      <c r="W50" s="119"/>
      <c r="X50" s="119"/>
      <c r="Y50" s="119"/>
      <c r="Z50" s="119"/>
      <c r="AA50" s="119"/>
      <c r="AB50" s="119"/>
      <c r="AC50" s="119"/>
      <c r="AD50" s="124" t="s">
        <v>256</v>
      </c>
      <c r="AE50" s="104" t="s">
        <v>228</v>
      </c>
      <c r="AF50" s="104" t="s">
        <v>228</v>
      </c>
      <c r="AG50" s="104" t="s">
        <v>228</v>
      </c>
      <c r="AH50" s="104" t="s">
        <v>228</v>
      </c>
      <c r="AI50" s="104" t="s">
        <v>228</v>
      </c>
      <c r="AJ50" s="103" t="s">
        <v>227</v>
      </c>
      <c r="AK50" s="104" t="s">
        <v>228</v>
      </c>
      <c r="AL50" s="104" t="s">
        <v>228</v>
      </c>
      <c r="AM50" s="104" t="s">
        <v>228</v>
      </c>
      <c r="AN50" s="104" t="s">
        <v>228</v>
      </c>
      <c r="AO50" s="104" t="s">
        <v>228</v>
      </c>
      <c r="AP50" s="104" t="s">
        <v>228</v>
      </c>
      <c r="AQ50" s="103" t="s">
        <v>227</v>
      </c>
      <c r="AR50" s="104" t="s">
        <v>228</v>
      </c>
      <c r="AS50" s="104" t="s">
        <v>228</v>
      </c>
      <c r="AT50" s="104" t="s">
        <v>228</v>
      </c>
      <c r="AU50" s="106" t="s">
        <v>229</v>
      </c>
      <c r="AV50" s="104" t="s">
        <v>228</v>
      </c>
      <c r="AW50" s="104" t="s">
        <v>228</v>
      </c>
      <c r="AX50" s="103" t="s">
        <v>227</v>
      </c>
      <c r="AY50" s="104" t="s">
        <v>228</v>
      </c>
      <c r="AZ50" s="104" t="s">
        <v>228</v>
      </c>
      <c r="BA50" s="120" t="n">
        <v>23</v>
      </c>
      <c r="BB50" s="121" t="n">
        <v>18</v>
      </c>
      <c r="BC50" s="121" t="n">
        <v>0</v>
      </c>
      <c r="BD50" s="121" t="n">
        <v>0</v>
      </c>
      <c r="BE50" s="121" t="n">
        <v>0</v>
      </c>
      <c r="BF50" s="121" t="n">
        <v>1</v>
      </c>
      <c r="BG50" s="121" t="n">
        <v>0</v>
      </c>
      <c r="BH50" s="121" t="n">
        <v>0</v>
      </c>
      <c r="BI50" s="121" t="n">
        <v>0</v>
      </c>
      <c r="BJ50" s="121" t="n">
        <v>0</v>
      </c>
      <c r="BK50" s="121" t="n">
        <v>0</v>
      </c>
      <c r="BL50" s="121" t="n">
        <v>3</v>
      </c>
      <c r="BM50" s="121" t="n">
        <v>22</v>
      </c>
      <c r="BN50" s="122"/>
      <c r="BO50" s="123" t="n">
        <v>15</v>
      </c>
      <c r="BP50" s="123" t="n">
        <v>5</v>
      </c>
      <c r="BQ50" s="123" t="n">
        <v>20</v>
      </c>
      <c r="BR50" s="123" t="n">
        <v>4</v>
      </c>
      <c r="BS50" s="123" t="n">
        <v>16</v>
      </c>
    </row>
    <row r="51" customFormat="false" ht="18.75" hidden="false" customHeight="true" outlineLevel="0" collapsed="false">
      <c r="A51" s="95" t="n">
        <v>50</v>
      </c>
      <c r="B51" s="96" t="s">
        <v>446</v>
      </c>
      <c r="C51" s="96" t="s">
        <v>78</v>
      </c>
      <c r="D51" s="96" t="s">
        <v>78</v>
      </c>
      <c r="E51" s="97" t="s">
        <v>447</v>
      </c>
      <c r="F51" s="98" t="s">
        <v>78</v>
      </c>
      <c r="G51" s="96"/>
      <c r="H51" s="96" t="s">
        <v>219</v>
      </c>
      <c r="I51" s="99" t="n">
        <v>46064</v>
      </c>
      <c r="J51" s="100" t="s">
        <v>416</v>
      </c>
      <c r="K51" s="96" t="s">
        <v>220</v>
      </c>
      <c r="L51" s="96" t="s">
        <v>53</v>
      </c>
      <c r="M51" s="96" t="s">
        <v>254</v>
      </c>
      <c r="N51" s="101" t="s">
        <v>222</v>
      </c>
      <c r="O51" s="96" t="s">
        <v>287</v>
      </c>
      <c r="P51" s="96" t="s">
        <v>287</v>
      </c>
      <c r="Q51" s="96"/>
      <c r="R51" s="96"/>
      <c r="S51" s="102" t="n">
        <v>447748512263</v>
      </c>
      <c r="T51" s="96" t="s">
        <v>448</v>
      </c>
      <c r="U51" s="96"/>
      <c r="V51" s="107"/>
      <c r="W51" s="107"/>
      <c r="X51" s="107"/>
      <c r="Y51" s="107"/>
      <c r="Z51" s="107"/>
      <c r="AA51" s="107"/>
      <c r="AB51" s="107"/>
      <c r="AC51" s="107"/>
      <c r="AD51" s="104" t="s">
        <v>228</v>
      </c>
      <c r="AE51" s="104" t="s">
        <v>228</v>
      </c>
      <c r="AF51" s="104" t="s">
        <v>228</v>
      </c>
      <c r="AG51" s="104" t="s">
        <v>228</v>
      </c>
      <c r="AH51" s="104" t="s">
        <v>228</v>
      </c>
      <c r="AI51" s="104" t="s">
        <v>228</v>
      </c>
      <c r="AJ51" s="103" t="s">
        <v>227</v>
      </c>
      <c r="AK51" s="104" t="s">
        <v>228</v>
      </c>
      <c r="AL51" s="104" t="s">
        <v>228</v>
      </c>
      <c r="AM51" s="104" t="s">
        <v>228</v>
      </c>
      <c r="AN51" s="104" t="s">
        <v>228</v>
      </c>
      <c r="AO51" s="104" t="s">
        <v>228</v>
      </c>
      <c r="AP51" s="104" t="s">
        <v>228</v>
      </c>
      <c r="AQ51" s="103" t="s">
        <v>227</v>
      </c>
      <c r="AR51" s="104" t="s">
        <v>228</v>
      </c>
      <c r="AS51" s="104" t="s">
        <v>228</v>
      </c>
      <c r="AT51" s="104" t="s">
        <v>228</v>
      </c>
      <c r="AU51" s="106" t="s">
        <v>229</v>
      </c>
      <c r="AV51" s="104" t="s">
        <v>228</v>
      </c>
      <c r="AW51" s="103" t="s">
        <v>227</v>
      </c>
      <c r="AX51" s="104" t="s">
        <v>228</v>
      </c>
      <c r="AY51" s="104" t="s">
        <v>228</v>
      </c>
      <c r="AZ51" s="104" t="s">
        <v>228</v>
      </c>
      <c r="BA51" s="108" t="n">
        <v>23</v>
      </c>
      <c r="BB51" s="109" t="n">
        <v>19</v>
      </c>
      <c r="BC51" s="109" t="n">
        <v>0</v>
      </c>
      <c r="BD51" s="109" t="n">
        <v>0</v>
      </c>
      <c r="BE51" s="109" t="n">
        <v>0</v>
      </c>
      <c r="BF51" s="109" t="n">
        <v>1</v>
      </c>
      <c r="BG51" s="109" t="n">
        <v>0</v>
      </c>
      <c r="BH51" s="109" t="n">
        <v>0</v>
      </c>
      <c r="BI51" s="109" t="n">
        <v>0</v>
      </c>
      <c r="BJ51" s="109" t="n">
        <v>0</v>
      </c>
      <c r="BK51" s="109" t="n">
        <v>0</v>
      </c>
      <c r="BL51" s="109" t="n">
        <v>3</v>
      </c>
      <c r="BM51" s="109" t="n">
        <v>23</v>
      </c>
      <c r="BN51" s="110"/>
      <c r="BO51" s="111" t="n">
        <v>15</v>
      </c>
      <c r="BP51" s="111" t="n">
        <v>5</v>
      </c>
      <c r="BQ51" s="111" t="n">
        <v>20</v>
      </c>
      <c r="BR51" s="111" t="n">
        <v>4</v>
      </c>
      <c r="BS51" s="111" t="n">
        <v>16</v>
      </c>
    </row>
  </sheetData>
  <autoFilter ref="A2:BS2"/>
  <mergeCells count="4">
    <mergeCell ref="A1:U1"/>
    <mergeCell ref="V1:AZ1"/>
    <mergeCell ref="BA1:BM1"/>
    <mergeCell ref="BN1:BS1"/>
  </mergeCells>
  <hyperlinks>
    <hyperlink ref="F2" r:id="rId2" display="Email ID"/>
    <hyperlink ref="F3" r:id="rId3" display="Monika"/>
    <hyperlink ref="F4" r:id="rId4" display="Ashutosh"/>
    <hyperlink ref="F5" r:id="rId5" display="Prince"/>
    <hyperlink ref="F6" r:id="rId6" display="Waman"/>
    <hyperlink ref="F7" r:id="rId7" display="Nair"/>
    <hyperlink ref="F8" r:id="rId8" display="Sushil"/>
    <hyperlink ref="F9" r:id="rId9" display="Saurabh S"/>
    <hyperlink ref="F10" r:id="rId10" display="Ritesh"/>
    <hyperlink ref="F11" r:id="rId11" display="Sneha"/>
    <hyperlink ref="F12" r:id="rId12" display="Aslam K"/>
    <hyperlink ref="F13" r:id="rId13" display="Shambu"/>
    <hyperlink ref="F14" r:id="rId14" display="Suresh"/>
    <hyperlink ref="F15" r:id="rId15" display="Aamir"/>
    <hyperlink ref="F16" r:id="rId16" display="Yatin"/>
    <hyperlink ref="F17" r:id="rId17" display="Sandeep"/>
    <hyperlink ref="F18" r:id="rId18" display="Arjun U"/>
    <hyperlink ref="F19" r:id="rId19" display="Ashpreet K"/>
    <hyperlink ref="F20" r:id="rId20" display="Maaz"/>
    <hyperlink ref="F21" r:id="rId21" display="Abhishek K"/>
    <hyperlink ref="F22" r:id="rId22" display="Sonal"/>
    <hyperlink ref="F23" r:id="rId23" display="Sachin G"/>
    <hyperlink ref="F24" r:id="rId24" display="Kawaljit K"/>
    <hyperlink ref="F25" r:id="rId25" display="Chandan Y"/>
    <hyperlink ref="F26" r:id="rId26" display="Fahrukh"/>
    <hyperlink ref="F27" r:id="rId27" display="Anuj S"/>
    <hyperlink ref="F28" r:id="rId28" display="Irfan"/>
    <hyperlink ref="F29" r:id="rId29" display="Riddhi"/>
    <hyperlink ref="F30" r:id="rId30" display="Madhur"/>
    <hyperlink ref="F31" r:id="rId31" display="Deepa Negi"/>
    <hyperlink ref="F32" r:id="rId32" display="Sangita M"/>
    <hyperlink ref="F33" r:id="rId33" display="Adharv"/>
    <hyperlink ref="F34" r:id="rId34" display="Advit"/>
    <hyperlink ref="F35" r:id="rId35" display="Anjali"/>
    <hyperlink ref="F36" r:id="rId36" display="Ankita"/>
    <hyperlink ref="F37" r:id="rId37" display="Mitali"/>
    <hyperlink ref="F38" r:id="rId38" display="Amrit"/>
    <hyperlink ref="F49" r:id="rId39" display="Alina"/>
    <hyperlink ref="F50" r:id="rId40" display="Siddhesh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1"/>
  <legacy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3F5E"/>
    <pageSetUpPr fitToPage="tru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6" activeCellId="0" sqref="C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"/>
    <col collapsed="false" customWidth="true" hidden="false" outlineLevel="0" max="4" min="3" style="1" width="11"/>
    <col collapsed="false" customWidth="true" hidden="false" outlineLevel="0" max="7" min="5" style="1" width="10"/>
    <col collapsed="false" customWidth="true" hidden="false" outlineLevel="0" max="8" min="8" style="1" width="17"/>
    <col collapsed="false" customWidth="true" hidden="false" outlineLevel="0" max="9" min="9" style="1" width="15"/>
  </cols>
  <sheetData>
    <row r="1" customFormat="false" ht="13.5" hidden="false" customHeight="true" outlineLevel="0" collapsed="false">
      <c r="A1" s="131" t="s">
        <v>449</v>
      </c>
      <c r="B1" s="131"/>
      <c r="C1" s="132" t="s">
        <v>450</v>
      </c>
      <c r="D1" s="133" t="s">
        <v>451</v>
      </c>
      <c r="E1" s="133"/>
      <c r="F1" s="133"/>
      <c r="G1" s="133"/>
      <c r="H1" s="134" t="s">
        <v>1</v>
      </c>
      <c r="I1" s="134"/>
    </row>
    <row r="2" customFormat="false" ht="37.5" hidden="false" customHeight="true" outlineLevel="0" collapsed="false">
      <c r="A2" s="135"/>
      <c r="B2" s="136" t="s">
        <v>452</v>
      </c>
      <c r="C2" s="137" t="s">
        <v>453</v>
      </c>
      <c r="D2" s="138" t="s">
        <v>454</v>
      </c>
      <c r="E2" s="139" t="s">
        <v>455</v>
      </c>
      <c r="F2" s="139" t="s">
        <v>456</v>
      </c>
      <c r="G2" s="139" t="s">
        <v>457</v>
      </c>
      <c r="H2" s="140" t="s">
        <v>458</v>
      </c>
      <c r="I2" s="141" t="s">
        <v>452</v>
      </c>
    </row>
    <row r="3" customFormat="false" ht="22.5" hidden="false" customHeight="true" outlineLevel="0" collapsed="false">
      <c r="A3" s="66" t="s">
        <v>52</v>
      </c>
      <c r="B3" s="99" t="e">
        <f aca="false">_xlfn.xlookup(A3,[1]sheet2!f:f,[1]sheet2!i:i)</f>
        <v>#NAME?</v>
      </c>
      <c r="C3" s="142" t="e">
        <f aca="false">(DATE(2026,3,31)-B3)/30</f>
        <v>#NAME?</v>
      </c>
      <c r="D3" s="143" t="e">
        <f aca="false">_xlfn.xlookup(A3,[1]sheet1!a:a,[1]sheet1!i:i,0)</f>
        <v>#NAME?</v>
      </c>
      <c r="E3" s="144" t="e">
        <f aca="false">_xlfn.xlookup(A3,[2]sheet3!$a:$a,[2]sheet3!$c:$c, 0)</f>
        <v>#NAME?</v>
      </c>
      <c r="F3" s="144" t="e">
        <f aca="false">_xlfn.xlookup(A3,[2]sheet3!$a:$a,[2]sheet3!$c:$c,0)</f>
        <v>#NAME?</v>
      </c>
      <c r="G3" s="144" t="e">
        <f aca="false">(D3+E3+F3)/3</f>
        <v>#NAME?</v>
      </c>
      <c r="H3" s="145" t="e">
        <f aca="false">IF(C3&gt;=6,"ELIGIBLE","NOT ELIGIBLE")</f>
        <v>#NAME?</v>
      </c>
      <c r="I3" s="146" t="s">
        <v>459</v>
      </c>
    </row>
    <row r="4" customFormat="false" ht="22.5" hidden="false" customHeight="true" outlineLevel="0" collapsed="false">
      <c r="A4" s="44" t="s">
        <v>56</v>
      </c>
      <c r="B4" s="116" t="e">
        <f aca="false">_xlfn.xlookup(A4,[1]sheet2!f:f,[1]sheet2!i:i)</f>
        <v>#NAME?</v>
      </c>
      <c r="C4" s="147" t="e">
        <f aca="false">(DATE(2026,3,31)-B4)/30</f>
        <v>#NAME?</v>
      </c>
      <c r="D4" s="148" t="e">
        <f aca="false">_xlfn.xlookup(A4,[1]sheet1!a:a,[1]sheet1!i:i,0)</f>
        <v>#NAME?</v>
      </c>
      <c r="E4" s="149" t="e">
        <f aca="false">_xlfn.xlookup(A4,[2]sheet3!$a:$a,[2]sheet3!$c:$c, 0)</f>
        <v>#NAME?</v>
      </c>
      <c r="F4" s="149" t="e">
        <f aca="false">_xlfn.xlookup(A4,[2]sheet3!$a:$a,[2]sheet3!$c:$c,0)</f>
        <v>#NAME?</v>
      </c>
      <c r="G4" s="149" t="e">
        <f aca="false">(D4+E4+F4)/3</f>
        <v>#NAME?</v>
      </c>
      <c r="H4" s="150" t="e">
        <f aca="false">IF(C4&gt;=6,"ELIGIBLE","NOT ELIGIBLE")</f>
        <v>#NAME?</v>
      </c>
      <c r="I4" s="151" t="s">
        <v>459</v>
      </c>
    </row>
    <row r="5" customFormat="false" ht="22.5" hidden="false" customHeight="true" outlineLevel="0" collapsed="false">
      <c r="A5" s="66" t="s">
        <v>58</v>
      </c>
      <c r="B5" s="99" t="e">
        <f aca="false">_xlfn.xlookup(A5,[1]sheet2!f:f,[1]sheet2!i:i)</f>
        <v>#NAME?</v>
      </c>
      <c r="C5" s="142" t="e">
        <f aca="false">(DATE(2026,3,31)-B5)/30</f>
        <v>#NAME?</v>
      </c>
      <c r="D5" s="143" t="e">
        <f aca="false">_xlfn.xlookup(A5,[1]sheet1!a:a,[1]sheet1!i:i,0)</f>
        <v>#NAME?</v>
      </c>
      <c r="E5" s="144" t="e">
        <f aca="false">_xlfn.xlookup(A5,[2]sheet3!$a:$a,[2]sheet3!$c:$c, 0)</f>
        <v>#NAME?</v>
      </c>
      <c r="F5" s="144" t="e">
        <f aca="false">_xlfn.xlookup(A5,[2]sheet3!$a:$a,[2]sheet3!$c:$c,0)</f>
        <v>#NAME?</v>
      </c>
      <c r="G5" s="144" t="e">
        <f aca="false">(D5+E5+F5)/3</f>
        <v>#NAME?</v>
      </c>
      <c r="H5" s="145" t="e">
        <f aca="false">IF(C5&gt;=6,"ELIGIBLE","NOT ELIGIBLE")</f>
        <v>#NAME?</v>
      </c>
      <c r="I5" s="146" t="s">
        <v>459</v>
      </c>
    </row>
    <row r="6" customFormat="false" ht="22.5" hidden="false" customHeight="true" outlineLevel="0" collapsed="false">
      <c r="A6" s="44" t="s">
        <v>60</v>
      </c>
      <c r="B6" s="116" t="e">
        <f aca="false">_xlfn.xlookup(A6,[1]sheet2!f:f,[1]sheet2!i:i)</f>
        <v>#NAME?</v>
      </c>
      <c r="C6" s="147" t="e">
        <f aca="false">(DATE(2026,3,31)-B6)/30</f>
        <v>#NAME?</v>
      </c>
      <c r="D6" s="148" t="e">
        <f aca="false">_xlfn.xlookup(A6,[1]sheet1!a:a,[1]sheet1!i:i,0)</f>
        <v>#NAME?</v>
      </c>
      <c r="E6" s="149" t="e">
        <f aca="false">_xlfn.xlookup(A6,[2]sheet3!$a:$a,[2]sheet3!$c:$c, 0)</f>
        <v>#NAME?</v>
      </c>
      <c r="F6" s="149" t="e">
        <f aca="false">_xlfn.xlookup(A6,[2]sheet3!$a:$a,[2]sheet3!$c:$c,0)</f>
        <v>#NAME?</v>
      </c>
      <c r="G6" s="149" t="e">
        <f aca="false">(D6+E6+F6)/3</f>
        <v>#NAME?</v>
      </c>
      <c r="H6" s="150" t="e">
        <f aca="false">IF(C6&gt;=6,"ELIGIBLE","NOT ELIGIBLE")</f>
        <v>#NAME?</v>
      </c>
      <c r="I6" s="151" t="s">
        <v>459</v>
      </c>
    </row>
    <row r="7" customFormat="false" ht="22.5" hidden="false" customHeight="true" outlineLevel="0" collapsed="false">
      <c r="A7" s="66" t="s">
        <v>62</v>
      </c>
      <c r="B7" s="99" t="e">
        <f aca="false">_xlfn.xlookup(A7,[1]sheet2!f:f,[1]sheet2!i:i)</f>
        <v>#NAME?</v>
      </c>
      <c r="C7" s="142" t="e">
        <f aca="false">(DATE(2026,3,31)-B7)/30</f>
        <v>#NAME?</v>
      </c>
      <c r="D7" s="143" t="e">
        <f aca="false">_xlfn.xlookup(A7,[1]sheet1!a:a,[1]sheet1!i:i,0)</f>
        <v>#NAME?</v>
      </c>
      <c r="E7" s="144" t="e">
        <f aca="false">_xlfn.xlookup(A7,[2]sheet3!$a:$a,[2]sheet3!$c:$c, 0)</f>
        <v>#NAME?</v>
      </c>
      <c r="F7" s="144" t="e">
        <f aca="false">_xlfn.xlookup(A7,[2]sheet3!$a:$a,[2]sheet3!$c:$c,0)</f>
        <v>#NAME?</v>
      </c>
      <c r="G7" s="144" t="e">
        <f aca="false">(D7+E7+F7)/3</f>
        <v>#NAME?</v>
      </c>
      <c r="H7" s="145" t="e">
        <f aca="false">IF(C7&gt;=6,"ELIGIBLE","NOT ELIGIBLE")</f>
        <v>#NAME?</v>
      </c>
      <c r="I7" s="146" t="s">
        <v>459</v>
      </c>
    </row>
    <row r="8" customFormat="false" ht="22.5" hidden="false" customHeight="true" outlineLevel="0" collapsed="false">
      <c r="A8" s="44" t="s">
        <v>64</v>
      </c>
      <c r="B8" s="116" t="e">
        <f aca="false">_xlfn.xlookup(A8,[1]sheet2!f:f,[1]sheet2!i:i)</f>
        <v>#NAME?</v>
      </c>
      <c r="C8" s="147" t="e">
        <f aca="false">(DATE(2026,3,31)-B8)/30</f>
        <v>#NAME?</v>
      </c>
      <c r="D8" s="148" t="e">
        <f aca="false">_xlfn.xlookup(A8,[1]sheet1!a:a,[1]sheet1!i:i,0)</f>
        <v>#NAME?</v>
      </c>
      <c r="E8" s="149" t="e">
        <f aca="false">_xlfn.xlookup(A8,[2]sheet3!$a:$a,[2]sheet3!$c:$c, 0)</f>
        <v>#NAME?</v>
      </c>
      <c r="F8" s="149" t="e">
        <f aca="false">_xlfn.xlookup(A8,[2]sheet3!$a:$a,[2]sheet3!$c:$c,0)</f>
        <v>#NAME?</v>
      </c>
      <c r="G8" s="149" t="e">
        <f aca="false">(D8+E8+F8)/3</f>
        <v>#NAME?</v>
      </c>
      <c r="H8" s="150" t="e">
        <f aca="false">IF(C8&gt;=6,"ELIGIBLE","NOT ELIGIBLE")</f>
        <v>#NAME?</v>
      </c>
      <c r="I8" s="151" t="s">
        <v>459</v>
      </c>
    </row>
    <row r="9" customFormat="false" ht="22.5" hidden="false" customHeight="true" outlineLevel="0" collapsed="false">
      <c r="A9" s="66" t="s">
        <v>66</v>
      </c>
      <c r="B9" s="99" t="e">
        <f aca="false">_xlfn.xlookup(A9,[1]sheet2!f:f,[1]sheet2!i:i)</f>
        <v>#NAME?</v>
      </c>
      <c r="C9" s="142" t="e">
        <f aca="false">(DATE(2026,3,31)-B9)/30</f>
        <v>#NAME?</v>
      </c>
      <c r="D9" s="143" t="e">
        <f aca="false">_xlfn.xlookup(A9,[1]sheet1!a:a,[1]sheet1!i:i,0)</f>
        <v>#NAME?</v>
      </c>
      <c r="E9" s="144" t="e">
        <f aca="false">_xlfn.xlookup(A9,[2]sheet3!$a:$a,[2]sheet3!$c:$c, 0)</f>
        <v>#NAME?</v>
      </c>
      <c r="F9" s="144" t="e">
        <f aca="false">_xlfn.xlookup(A9,[2]sheet3!$a:$a,[2]sheet3!$c:$c,0)</f>
        <v>#NAME?</v>
      </c>
      <c r="G9" s="144" t="e">
        <f aca="false">(D9+E9+F9)/3</f>
        <v>#NAME?</v>
      </c>
      <c r="H9" s="145" t="e">
        <f aca="false">IF(C9&gt;=6,"ELIGIBLE","NOT ELIGIBLE")</f>
        <v>#NAME?</v>
      </c>
      <c r="I9" s="146" t="s">
        <v>459</v>
      </c>
    </row>
    <row r="10" customFormat="false" ht="22.5" hidden="false" customHeight="true" outlineLevel="0" collapsed="false">
      <c r="A10" s="44" t="s">
        <v>68</v>
      </c>
      <c r="B10" s="116" t="e">
        <f aca="false">_xlfn.xlookup(A10,[1]sheet2!f:f,[1]sheet2!i:i)</f>
        <v>#NAME?</v>
      </c>
      <c r="C10" s="147" t="e">
        <f aca="false">(DATE(2026,3,31)-B10)/30</f>
        <v>#NAME?</v>
      </c>
      <c r="D10" s="148" t="e">
        <f aca="false">_xlfn.xlookup(A10,[1]sheet1!a:a,[1]sheet1!i:i,0)</f>
        <v>#NAME?</v>
      </c>
      <c r="E10" s="149" t="e">
        <f aca="false">_xlfn.xlookup(A10,[2]sheet3!$a:$a,[2]sheet3!$c:$c, 0)</f>
        <v>#NAME?</v>
      </c>
      <c r="F10" s="149" t="e">
        <f aca="false">_xlfn.xlookup(A10,[2]sheet3!$a:$a,[2]sheet3!$c:$c,0)</f>
        <v>#NAME?</v>
      </c>
      <c r="G10" s="149" t="e">
        <f aca="false">(D10+E10+F10)/3</f>
        <v>#NAME?</v>
      </c>
      <c r="H10" s="150" t="e">
        <f aca="false">IF(C10&gt;=6,"ELIGIBLE","NOT ELIGIBLE")</f>
        <v>#NAME?</v>
      </c>
      <c r="I10" s="151" t="s">
        <v>459</v>
      </c>
    </row>
    <row r="11" customFormat="false" ht="22.5" hidden="false" customHeight="true" outlineLevel="0" collapsed="false">
      <c r="A11" s="66" t="s">
        <v>70</v>
      </c>
      <c r="B11" s="99" t="e">
        <f aca="false">_xlfn.xlookup(A11,[1]sheet2!f:f,[1]sheet2!i:i)</f>
        <v>#NAME?</v>
      </c>
      <c r="C11" s="142" t="e">
        <f aca="false">(DATE(2026,3,31)-B11)/30</f>
        <v>#NAME?</v>
      </c>
      <c r="D11" s="143" t="e">
        <f aca="false">_xlfn.xlookup(A11,[1]sheet1!a:a,[1]sheet1!i:i,0)</f>
        <v>#NAME?</v>
      </c>
      <c r="E11" s="144" t="e">
        <f aca="false">_xlfn.xlookup(A11,[2]sheet3!$a:$a,[2]sheet3!$c:$c, 0)</f>
        <v>#NAME?</v>
      </c>
      <c r="F11" s="144" t="e">
        <f aca="false">_xlfn.xlookup(A11,[2]sheet3!$a:$a,[2]sheet3!$c:$c,0)</f>
        <v>#NAME?</v>
      </c>
      <c r="G11" s="144" t="e">
        <f aca="false">(D11+E11+F11)/3</f>
        <v>#NAME?</v>
      </c>
      <c r="H11" s="145" t="e">
        <f aca="false">IF(C11&gt;=6,"ELIGIBLE","NOT ELIGIBLE")</f>
        <v>#NAME?</v>
      </c>
      <c r="I11" s="146" t="s">
        <v>459</v>
      </c>
    </row>
    <row r="12" customFormat="false" ht="22.5" hidden="false" customHeight="true" outlineLevel="0" collapsed="false">
      <c r="A12" s="44" t="s">
        <v>74</v>
      </c>
      <c r="B12" s="116" t="e">
        <f aca="false">_xlfn.xlookup(A12,[1]sheet2!f:f,[1]sheet2!i:i)</f>
        <v>#NAME?</v>
      </c>
      <c r="C12" s="147" t="e">
        <f aca="false">(DATE(2026,3,31)-B12)/30</f>
        <v>#NAME?</v>
      </c>
      <c r="D12" s="148" t="e">
        <f aca="false">_xlfn.xlookup(A12,[1]sheet1!a:a,[1]sheet1!i:i,0)</f>
        <v>#NAME?</v>
      </c>
      <c r="E12" s="149" t="e">
        <f aca="false">_xlfn.xlookup(A12,[2]sheet3!$a:$a,[2]sheet3!$c:$c, 0)</f>
        <v>#NAME?</v>
      </c>
      <c r="F12" s="149" t="e">
        <f aca="false">_xlfn.xlookup(A12,[2]sheet3!$a:$a,[2]sheet3!$c:$c,0)</f>
        <v>#NAME?</v>
      </c>
      <c r="G12" s="149" t="e">
        <f aca="false">(D12+E12+F12)/3</f>
        <v>#NAME?</v>
      </c>
      <c r="H12" s="150" t="e">
        <f aca="false">IF(C12&gt;=6,"ELIGIBLE","NOT ELIGIBLE")</f>
        <v>#NAME?</v>
      </c>
      <c r="I12" s="151" t="s">
        <v>459</v>
      </c>
    </row>
    <row r="13" customFormat="false" ht="22.5" hidden="false" customHeight="true" outlineLevel="0" collapsed="false">
      <c r="A13" s="66" t="s">
        <v>75</v>
      </c>
      <c r="B13" s="99" t="e">
        <f aca="false">_xlfn.xlookup(A13,[1]sheet2!f:f,[1]sheet2!i:i)</f>
        <v>#NAME?</v>
      </c>
      <c r="C13" s="142" t="e">
        <f aca="false">(DATE(2026,3,31)-B13)/30</f>
        <v>#NAME?</v>
      </c>
      <c r="D13" s="143" t="e">
        <f aca="false">_xlfn.xlookup(A13,[1]sheet1!a:a,[1]sheet1!i:i,0)</f>
        <v>#NAME?</v>
      </c>
      <c r="E13" s="144" t="e">
        <f aca="false">_xlfn.xlookup(A13,[2]sheet3!$a:$a,[2]sheet3!$c:$c, 0)</f>
        <v>#NAME?</v>
      </c>
      <c r="F13" s="144" t="e">
        <f aca="false">_xlfn.xlookup(A13,[2]sheet3!$a:$a,[2]sheet3!$c:$c,0)</f>
        <v>#NAME?</v>
      </c>
      <c r="G13" s="144" t="e">
        <f aca="false">(D13+E13+F13)/3</f>
        <v>#NAME?</v>
      </c>
      <c r="H13" s="145" t="e">
        <f aca="false">IF(C13&gt;=6,"ELIGIBLE","NOT ELIGIBLE")</f>
        <v>#NAME?</v>
      </c>
      <c r="I13" s="146" t="s">
        <v>459</v>
      </c>
    </row>
    <row r="14" customFormat="false" ht="22.5" hidden="false" customHeight="true" outlineLevel="0" collapsed="false">
      <c r="A14" s="44" t="s">
        <v>76</v>
      </c>
      <c r="B14" s="116" t="e">
        <f aca="false">_xlfn.xlookup(A14,[1]sheet2!f:f,[1]sheet2!i:i)</f>
        <v>#NAME?</v>
      </c>
      <c r="C14" s="147" t="e">
        <f aca="false">(DATE(2026,3,31)-B14)/30</f>
        <v>#NAME?</v>
      </c>
      <c r="D14" s="148" t="e">
        <f aca="false">_xlfn.xlookup(A14,[1]sheet1!a:a,[1]sheet1!i:i,0)</f>
        <v>#NAME?</v>
      </c>
      <c r="E14" s="149" t="e">
        <f aca="false">_xlfn.xlookup(A14,[2]sheet3!$a:$a,[2]sheet3!$c:$c, 0)</f>
        <v>#NAME?</v>
      </c>
      <c r="F14" s="149" t="e">
        <f aca="false">_xlfn.xlookup(A14,[2]sheet3!$a:$a,[2]sheet3!$c:$c,0)</f>
        <v>#NAME?</v>
      </c>
      <c r="G14" s="149" t="e">
        <f aca="false">(D14+E14+F14)/3</f>
        <v>#NAME?</v>
      </c>
      <c r="H14" s="150" t="e">
        <f aca="false">IF(C14&gt;=6,"ELIGIBLE","NOT ELIGIBLE")</f>
        <v>#NAME?</v>
      </c>
      <c r="I14" s="151" t="s">
        <v>459</v>
      </c>
    </row>
    <row r="15" customFormat="false" ht="22.5" hidden="false" customHeight="true" outlineLevel="0" collapsed="false">
      <c r="A15" s="66" t="s">
        <v>78</v>
      </c>
      <c r="B15" s="99" t="e">
        <f aca="false">_xlfn.xlookup(A15,[1]sheet2!f:f,[1]sheet2!i:i)</f>
        <v>#NAME?</v>
      </c>
      <c r="C15" s="142" t="e">
        <f aca="false">(DATE(2026,3,31)-B15)/30</f>
        <v>#NAME?</v>
      </c>
      <c r="D15" s="143" t="e">
        <f aca="false">_xlfn.xlookup(A15,[1]sheet1!a:a,[1]sheet1!i:i,0)</f>
        <v>#NAME?</v>
      </c>
      <c r="E15" s="144" t="e">
        <f aca="false">_xlfn.xlookup(A15,[2]sheet3!$a:$a,[2]sheet3!$c:$c, 0)</f>
        <v>#NAME?</v>
      </c>
      <c r="F15" s="144" t="e">
        <f aca="false">_xlfn.xlookup(A15,[2]sheet3!$a:$a,[2]sheet3!$c:$c,0)</f>
        <v>#NAME?</v>
      </c>
      <c r="G15" s="144" t="e">
        <f aca="false">(D15+E15+F15)/3</f>
        <v>#NAME?</v>
      </c>
      <c r="H15" s="145" t="e">
        <f aca="false">IF(C15&gt;=6,"ELIGIBLE","NOT ELIGIBLE")</f>
        <v>#NAME?</v>
      </c>
      <c r="I15" s="146" t="s">
        <v>459</v>
      </c>
    </row>
    <row r="16" customFormat="false" ht="22.5" hidden="false" customHeight="true" outlineLevel="0" collapsed="false">
      <c r="A16" s="44" t="s">
        <v>80</v>
      </c>
      <c r="B16" s="116" t="e">
        <f aca="false">_xlfn.xlookup(A16,[1]sheet2!f:f,[1]sheet2!i:i)</f>
        <v>#NAME?</v>
      </c>
      <c r="C16" s="147" t="e">
        <f aca="false">(DATE(2026,3,31)-B16)/30</f>
        <v>#NAME?</v>
      </c>
      <c r="D16" s="148" t="e">
        <f aca="false">_xlfn.xlookup(A16,[1]sheet1!a:a,[1]sheet1!i:i,0)</f>
        <v>#NAME?</v>
      </c>
      <c r="E16" s="149" t="e">
        <f aca="false">_xlfn.xlookup(A16,[2]sheet3!$a:$a,[2]sheet3!$c:$c, 0)</f>
        <v>#NAME?</v>
      </c>
      <c r="F16" s="149" t="e">
        <f aca="false">_xlfn.xlookup(A16,[2]sheet3!$a:$a,[2]sheet3!$c:$c,0)</f>
        <v>#NAME?</v>
      </c>
      <c r="G16" s="149" t="e">
        <f aca="false">(D16+E16+F16)/3</f>
        <v>#NAME?</v>
      </c>
      <c r="H16" s="150" t="e">
        <f aca="false">IF(C16&gt;=6,"ELIGIBLE","NOT ELIGIBLE")</f>
        <v>#NAME?</v>
      </c>
      <c r="I16" s="151" t="e">
        <f aca="false">IF(AND(G16&gt;=85,H16="ELIGIBLE"), "ELIGIBLE", "NOT ELIGIBLE")</f>
        <v>#NAME?</v>
      </c>
    </row>
    <row r="17" customFormat="false" ht="22.5" hidden="false" customHeight="true" outlineLevel="0" collapsed="false">
      <c r="A17" s="66" t="s">
        <v>83</v>
      </c>
      <c r="B17" s="99" t="e">
        <f aca="false">_xlfn.xlookup(A17,[1]sheet2!f:f,[1]sheet2!i:i)</f>
        <v>#NAME?</v>
      </c>
      <c r="C17" s="142" t="e">
        <f aca="false">(DATE(2026,3,31)-B17)/30</f>
        <v>#NAME?</v>
      </c>
      <c r="D17" s="143" t="e">
        <f aca="false">_xlfn.xlookup(A17,[1]sheet1!a:a,[1]sheet1!i:i,0)</f>
        <v>#NAME?</v>
      </c>
      <c r="E17" s="144" t="e">
        <f aca="false">_xlfn.xlookup(A17,[2]sheet3!$a:$a,[2]sheet3!$c:$c, 0)</f>
        <v>#NAME?</v>
      </c>
      <c r="F17" s="144" t="e">
        <f aca="false">_xlfn.xlookup(A17,[2]sheet3!$a:$a,[2]sheet3!$c:$c,0)</f>
        <v>#NAME?</v>
      </c>
      <c r="G17" s="144" t="e">
        <f aca="false">(D17+E17+F17)/3</f>
        <v>#NAME?</v>
      </c>
      <c r="H17" s="145" t="e">
        <f aca="false">IF(C17&gt;=6,"ELIGIBLE","NOT ELIGIBLE")</f>
        <v>#NAME?</v>
      </c>
      <c r="I17" s="146" t="e">
        <f aca="false">IF(AND(G17&gt;=85,H17="ELIGIBLE"), "ELIGIBLE", "NOT ELIGIBLE")</f>
        <v>#NAME?</v>
      </c>
    </row>
    <row r="18" customFormat="false" ht="22.5" hidden="false" customHeight="true" outlineLevel="0" collapsed="false">
      <c r="A18" s="44" t="s">
        <v>85</v>
      </c>
      <c r="B18" s="116" t="e">
        <f aca="false">_xlfn.xlookup(A18,[1]sheet2!f:f,[1]sheet2!i:i)</f>
        <v>#NAME?</v>
      </c>
      <c r="C18" s="147" t="e">
        <f aca="false">(DATE(2026,3,31)-B18)/30</f>
        <v>#NAME?</v>
      </c>
      <c r="D18" s="148" t="e">
        <f aca="false">_xlfn.xlookup(A18,[1]sheet1!a:a,[1]sheet1!i:i,0)</f>
        <v>#NAME?</v>
      </c>
      <c r="E18" s="149" t="e">
        <f aca="false">_xlfn.xlookup(A18,[2]sheet3!$a:$a,[2]sheet3!$c:$c, 0)</f>
        <v>#NAME?</v>
      </c>
      <c r="F18" s="149" t="e">
        <f aca="false">_xlfn.xlookup(A18,[2]sheet3!$a:$a,[2]sheet3!$c:$c,0)</f>
        <v>#NAME?</v>
      </c>
      <c r="G18" s="149" t="e">
        <f aca="false">(D18+E18+F18)/3</f>
        <v>#NAME?</v>
      </c>
      <c r="H18" s="150" t="e">
        <f aca="false">IF(C18&gt;=6,"ELIGIBLE","NOT ELIGIBLE")</f>
        <v>#NAME?</v>
      </c>
      <c r="I18" s="151" t="e">
        <f aca="false">IF(AND(G18&gt;=85,H18="ELIGIBLE"), "ELIGIBLE", "NOT ELIGIBLE")</f>
        <v>#NAME?</v>
      </c>
    </row>
    <row r="19" customFormat="false" ht="22.5" hidden="false" customHeight="true" outlineLevel="0" collapsed="false">
      <c r="A19" s="66" t="s">
        <v>87</v>
      </c>
      <c r="B19" s="99" t="e">
        <f aca="false">_xlfn.xlookup(A19,[1]sheet2!f:f,[1]sheet2!i:i)</f>
        <v>#NAME?</v>
      </c>
      <c r="C19" s="142" t="e">
        <f aca="false">(DATE(2026,3,31)-B19)/30</f>
        <v>#NAME?</v>
      </c>
      <c r="D19" s="143" t="e">
        <f aca="false">_xlfn.xlookup(A19,[1]sheet1!a:a,[1]sheet1!i:i,0)</f>
        <v>#NAME?</v>
      </c>
      <c r="E19" s="144" t="e">
        <f aca="false">_xlfn.xlookup(A19,[2]sheet3!$a:$a,[2]sheet3!$c:$c, 0)</f>
        <v>#NAME?</v>
      </c>
      <c r="F19" s="144" t="e">
        <f aca="false">_xlfn.xlookup(A19,[2]sheet3!$a:$a,[2]sheet3!$c:$c,0)</f>
        <v>#NAME?</v>
      </c>
      <c r="G19" s="144" t="e">
        <f aca="false">(D19+E19+F19)/3</f>
        <v>#NAME?</v>
      </c>
      <c r="H19" s="145" t="e">
        <f aca="false">IF(C19&gt;=6,"ELIGIBLE","NOT ELIGIBLE")</f>
        <v>#NAME?</v>
      </c>
      <c r="I19" s="146" t="e">
        <f aca="false">IF(AND(G19&gt;=85,H19="ELIGIBLE"), "ELIGIBLE", "NOT ELIGIBLE")</f>
        <v>#NAME?</v>
      </c>
    </row>
    <row r="20" customFormat="false" ht="22.5" hidden="false" customHeight="true" outlineLevel="0" collapsed="false">
      <c r="A20" s="44" t="s">
        <v>89</v>
      </c>
      <c r="B20" s="116" t="e">
        <f aca="false">_xlfn.xlookup(A20,[1]sheet2!f:f,[1]sheet2!i:i)</f>
        <v>#NAME?</v>
      </c>
      <c r="C20" s="147" t="e">
        <f aca="false">(DATE(2026,3,31)-B20)/30</f>
        <v>#NAME?</v>
      </c>
      <c r="D20" s="148" t="e">
        <f aca="false">_xlfn.xlookup(A20,[1]sheet1!a:a,[1]sheet1!i:i,0)</f>
        <v>#NAME?</v>
      </c>
      <c r="E20" s="149" t="e">
        <f aca="false">_xlfn.xlookup(A20,[2]sheet3!$a:$a,[2]sheet3!$c:$c, 0)</f>
        <v>#NAME?</v>
      </c>
      <c r="F20" s="149" t="e">
        <f aca="false">_xlfn.xlookup(A20,[2]sheet3!$a:$a,[2]sheet3!$c:$c,0)</f>
        <v>#NAME?</v>
      </c>
      <c r="G20" s="149" t="e">
        <f aca="false">(D20+E20+F20)/3</f>
        <v>#NAME?</v>
      </c>
      <c r="H20" s="150" t="e">
        <f aca="false">IF(C20&gt;=6,"ELIGIBLE","NOT ELIGIBLE")</f>
        <v>#NAME?</v>
      </c>
      <c r="I20" s="151" t="e">
        <f aca="false">IF(AND(G20&gt;=85,H20="ELIGIBLE"), "ELIGIBLE", "NOT ELIGIBLE")</f>
        <v>#NAME?</v>
      </c>
    </row>
    <row r="21" customFormat="false" ht="22.5" hidden="false" customHeight="true" outlineLevel="0" collapsed="false">
      <c r="A21" s="66" t="s">
        <v>92</v>
      </c>
      <c r="B21" s="99" t="e">
        <f aca="false">_xlfn.xlookup(A21,[1]sheet2!f:f,[1]sheet2!i:i)</f>
        <v>#NAME?</v>
      </c>
      <c r="C21" s="142" t="e">
        <f aca="false">(DATE(2026,3,31)-B21)/30</f>
        <v>#NAME?</v>
      </c>
      <c r="D21" s="143" t="e">
        <f aca="false">_xlfn.xlookup(A21,[1]sheet1!a:a,[1]sheet1!i:i,0)</f>
        <v>#NAME?</v>
      </c>
      <c r="E21" s="144" t="e">
        <f aca="false">_xlfn.xlookup(A21,[2]sheet3!$a:$a,[2]sheet3!$c:$c, 0)</f>
        <v>#NAME?</v>
      </c>
      <c r="F21" s="144" t="e">
        <f aca="false">_xlfn.xlookup(A21,[2]sheet3!$a:$a,[2]sheet3!$c:$c,0)</f>
        <v>#NAME?</v>
      </c>
      <c r="G21" s="144" t="e">
        <f aca="false">(D21+E21+F21)/3</f>
        <v>#NAME?</v>
      </c>
      <c r="H21" s="145" t="e">
        <f aca="false">IF(C21&gt;=6,"ELIGIBLE","NOT ELIGIBLE")</f>
        <v>#NAME?</v>
      </c>
      <c r="I21" s="146" t="e">
        <f aca="false">IF(AND(G21&gt;=85,H21="ELIGIBLE"), "ELIGIBLE", "NOT ELIGIBLE")</f>
        <v>#NAME?</v>
      </c>
    </row>
    <row r="22" customFormat="false" ht="22.5" hidden="false" customHeight="true" outlineLevel="0" collapsed="false">
      <c r="A22" s="44" t="s">
        <v>94</v>
      </c>
      <c r="B22" s="116" t="e">
        <f aca="false">_xlfn.xlookup(A22,[1]sheet2!f:f,[1]sheet2!i:i)</f>
        <v>#NAME?</v>
      </c>
      <c r="C22" s="147" t="e">
        <f aca="false">(DATE(2026,3,31)-B22)/30</f>
        <v>#NAME?</v>
      </c>
      <c r="D22" s="148" t="e">
        <f aca="false">_xlfn.xlookup(A22,[1]sheet1!a:a,[1]sheet1!i:i,0)</f>
        <v>#NAME?</v>
      </c>
      <c r="E22" s="149" t="e">
        <f aca="false">_xlfn.xlookup(A22,[2]sheet3!$a:$a,[2]sheet3!$c:$c, 0)</f>
        <v>#NAME?</v>
      </c>
      <c r="F22" s="149" t="e">
        <f aca="false">_xlfn.xlookup(A22,[2]sheet3!$a:$a,[2]sheet3!$c:$c,0)</f>
        <v>#NAME?</v>
      </c>
      <c r="G22" s="149" t="e">
        <f aca="false">(D22+E22+F22)/3</f>
        <v>#NAME?</v>
      </c>
      <c r="H22" s="150" t="e">
        <f aca="false">IF(C22&gt;=6,"ELIGIBLE","NOT ELIGIBLE")</f>
        <v>#NAME?</v>
      </c>
      <c r="I22" s="151" t="e">
        <f aca="false">IF(AND(G22&gt;=85,H22="ELIGIBLE"), "ELIGIBLE", "NOT ELIGIBLE")</f>
        <v>#NAME?</v>
      </c>
    </row>
    <row r="23" customFormat="false" ht="22.5" hidden="false" customHeight="true" outlineLevel="0" collapsed="false">
      <c r="A23" s="66" t="s">
        <v>96</v>
      </c>
      <c r="B23" s="99" t="e">
        <f aca="false">_xlfn.xlookup(A23,[1]sheet2!f:f,[1]sheet2!i:i)</f>
        <v>#NAME?</v>
      </c>
      <c r="C23" s="142" t="e">
        <f aca="false">(DATE(2026,3,31)-B23)/30</f>
        <v>#NAME?</v>
      </c>
      <c r="D23" s="143" t="e">
        <f aca="false">_xlfn.xlookup(A23,[1]sheet1!a:a,[1]sheet1!i:i,0)</f>
        <v>#NAME?</v>
      </c>
      <c r="E23" s="144" t="e">
        <f aca="false">_xlfn.xlookup(A23,[2]sheet3!$a:$a,[2]sheet3!$c:$c, 0)</f>
        <v>#NAME?</v>
      </c>
      <c r="F23" s="144" t="e">
        <f aca="false">_xlfn.xlookup(A23,[2]sheet3!$a:$a,[2]sheet3!$c:$c,0)</f>
        <v>#NAME?</v>
      </c>
      <c r="G23" s="144" t="e">
        <f aca="false">(D23+E23+F23)/3</f>
        <v>#NAME?</v>
      </c>
      <c r="H23" s="145" t="e">
        <f aca="false">IF(C23&gt;=6,"ELIGIBLE","NOT ELIGIBLE")</f>
        <v>#NAME?</v>
      </c>
      <c r="I23" s="146" t="e">
        <f aca="false">IF(AND(G23&gt;=85,H23="ELIGIBLE"), "ELIGIBLE", "NOT ELIGIBLE")</f>
        <v>#NAME?</v>
      </c>
    </row>
    <row r="24" customFormat="false" ht="22.5" hidden="false" customHeight="true" outlineLevel="0" collapsed="false">
      <c r="A24" s="44" t="s">
        <v>98</v>
      </c>
      <c r="B24" s="116" t="e">
        <f aca="false">_xlfn.xlookup(A24,[1]sheet2!f:f,[1]sheet2!i:i)</f>
        <v>#NAME?</v>
      </c>
      <c r="C24" s="147" t="e">
        <f aca="false">(DATE(2026,3,31)-B24)/30</f>
        <v>#NAME?</v>
      </c>
      <c r="D24" s="148" t="e">
        <f aca="false">_xlfn.xlookup(A24,[1]sheet1!a:a,[1]sheet1!i:i,0)</f>
        <v>#NAME?</v>
      </c>
      <c r="E24" s="149" t="e">
        <f aca="false">_xlfn.xlookup(A24,[2]sheet3!$a:$a,[2]sheet3!$c:$c, 0)</f>
        <v>#NAME?</v>
      </c>
      <c r="F24" s="149" t="e">
        <f aca="false">_xlfn.xlookup(A24,[2]sheet3!$a:$a,[2]sheet3!$c:$c,0)</f>
        <v>#NAME?</v>
      </c>
      <c r="G24" s="149" t="e">
        <f aca="false">(D24+E24+F24)/3</f>
        <v>#NAME?</v>
      </c>
      <c r="H24" s="150" t="e">
        <f aca="false">IF(C24&gt;=6,"ELIGIBLE","NOT ELIGIBLE")</f>
        <v>#NAME?</v>
      </c>
      <c r="I24" s="151" t="e">
        <f aca="false">IF(AND(G24&gt;=85,H24="ELIGIBLE"), "ELIGIBLE", "NOT ELIGIBLE")</f>
        <v>#NAME?</v>
      </c>
    </row>
    <row r="25" customFormat="false" ht="22.5" hidden="false" customHeight="true" outlineLevel="0" collapsed="false">
      <c r="A25" s="66" t="s">
        <v>100</v>
      </c>
      <c r="B25" s="99" t="e">
        <f aca="false">_xlfn.xlookup(A25,[1]sheet2!f:f,[1]sheet2!i:i)</f>
        <v>#NAME?</v>
      </c>
      <c r="C25" s="142" t="e">
        <f aca="false">(DATE(2026,3,31)-B25)/30</f>
        <v>#NAME?</v>
      </c>
      <c r="D25" s="143" t="e">
        <f aca="false">_xlfn.xlookup(A25,[1]sheet1!a:a,[1]sheet1!i:i,0)</f>
        <v>#NAME?</v>
      </c>
      <c r="E25" s="144" t="e">
        <f aca="false">_xlfn.xlookup(A25,[2]sheet3!$a:$a,[2]sheet3!$c:$c, 0)</f>
        <v>#NAME?</v>
      </c>
      <c r="F25" s="144" t="e">
        <f aca="false">_xlfn.xlookup(A25,[2]sheet3!$a:$a,[2]sheet3!$c:$c,0)</f>
        <v>#NAME?</v>
      </c>
      <c r="G25" s="144" t="e">
        <f aca="false">(D25+E25+F25)/3</f>
        <v>#NAME?</v>
      </c>
      <c r="H25" s="145" t="e">
        <f aca="false">IF(C25&gt;=6,"ELIGIBLE","NOT ELIGIBLE")</f>
        <v>#NAME?</v>
      </c>
      <c r="I25" s="146" t="e">
        <f aca="false">IF(AND(G25&gt;=85,H25="ELIGIBLE"), "ELIGIBLE", "NOT ELIGIBLE")</f>
        <v>#NAME?</v>
      </c>
    </row>
    <row r="26" customFormat="false" ht="22.5" hidden="false" customHeight="true" outlineLevel="0" collapsed="false">
      <c r="A26" s="44" t="s">
        <v>102</v>
      </c>
      <c r="B26" s="116" t="e">
        <f aca="false">_xlfn.xlookup(A26,[1]sheet2!f:f,[1]sheet2!i:i)</f>
        <v>#NAME?</v>
      </c>
      <c r="C26" s="147" t="e">
        <f aca="false">(DATE(2026,3,31)-B26)/30</f>
        <v>#NAME?</v>
      </c>
      <c r="D26" s="148" t="e">
        <f aca="false">_xlfn.xlookup(A26,[1]sheet1!a:a,[1]sheet1!i:i,0)</f>
        <v>#NAME?</v>
      </c>
      <c r="E26" s="149" t="e">
        <f aca="false">_xlfn.xlookup(A26,[2]sheet3!$a:$a,[2]sheet3!$c:$c, 0)</f>
        <v>#NAME?</v>
      </c>
      <c r="F26" s="149" t="e">
        <f aca="false">_xlfn.xlookup(A26,[2]sheet3!$a:$a,[2]sheet3!$c:$c,0)</f>
        <v>#NAME?</v>
      </c>
      <c r="G26" s="149" t="e">
        <f aca="false">(D26+E26+F26)/3</f>
        <v>#NAME?</v>
      </c>
      <c r="H26" s="150" t="e">
        <f aca="false">IF(C26&gt;=6,"ELIGIBLE","NOT ELIGIBLE")</f>
        <v>#NAME?</v>
      </c>
      <c r="I26" s="151" t="e">
        <f aca="false">IF(AND(G26&gt;=85,H26="ELIGIBLE"), "ELIGIBLE", "NOT ELIGIBLE")</f>
        <v>#NAME?</v>
      </c>
    </row>
    <row r="27" customFormat="false" ht="22.5" hidden="false" customHeight="true" outlineLevel="0" collapsed="false">
      <c r="A27" s="66" t="s">
        <v>104</v>
      </c>
      <c r="B27" s="99" t="e">
        <f aca="false">_xlfn.xlookup(A27,[1]sheet2!f:f,[1]sheet2!i:i)</f>
        <v>#NAME?</v>
      </c>
      <c r="C27" s="142" t="e">
        <f aca="false">(DATE(2026,3,31)-B27)/30</f>
        <v>#NAME?</v>
      </c>
      <c r="D27" s="143" t="e">
        <f aca="false">_xlfn.xlookup(A27,[1]sheet1!a:a,[1]sheet1!i:i,0)</f>
        <v>#NAME?</v>
      </c>
      <c r="E27" s="144" t="e">
        <f aca="false">_xlfn.xlookup(A27,[2]sheet3!$a:$a,[2]sheet3!$c:$c, 0)</f>
        <v>#NAME?</v>
      </c>
      <c r="F27" s="144" t="e">
        <f aca="false">_xlfn.xlookup(A27,[2]sheet3!$a:$a,[2]sheet3!$c:$c,0)</f>
        <v>#NAME?</v>
      </c>
      <c r="G27" s="144" t="e">
        <f aca="false">(D27+E27+F27)/3</f>
        <v>#NAME?</v>
      </c>
      <c r="H27" s="145" t="e">
        <f aca="false">IF(C27&gt;=6,"ELIGIBLE","NOT ELIGIBLE")</f>
        <v>#NAME?</v>
      </c>
      <c r="I27" s="146" t="e">
        <f aca="false">IF(AND(G27&gt;=85,H27="ELIGIBLE"), "ELIGIBLE", "NOT ELIGIBLE")</f>
        <v>#NAME?</v>
      </c>
    </row>
    <row r="28" customFormat="false" ht="22.5" hidden="false" customHeight="true" outlineLevel="0" collapsed="false">
      <c r="A28" s="44" t="s">
        <v>106</v>
      </c>
      <c r="B28" s="116" t="e">
        <f aca="false">_xlfn.xlookup(A28,[1]sheet2!f:f,[1]sheet2!i:i)</f>
        <v>#NAME?</v>
      </c>
      <c r="C28" s="147" t="e">
        <f aca="false">(DATE(2026,3,31)-B28)/30</f>
        <v>#NAME?</v>
      </c>
      <c r="D28" s="148" t="e">
        <f aca="false">_xlfn.xlookup(A28,[1]sheet1!a:a,[1]sheet1!i:i,0)</f>
        <v>#NAME?</v>
      </c>
      <c r="E28" s="149" t="e">
        <f aca="false">_xlfn.xlookup(A28,[2]sheet3!$a:$a,[2]sheet3!$c:$c, 0)</f>
        <v>#NAME?</v>
      </c>
      <c r="F28" s="149" t="e">
        <f aca="false">_xlfn.xlookup(A28,[2]sheet3!$a:$a,[2]sheet3!$c:$c,0)</f>
        <v>#NAME?</v>
      </c>
      <c r="G28" s="149" t="e">
        <f aca="false">(D28+E28+F28)/3</f>
        <v>#NAME?</v>
      </c>
      <c r="H28" s="150" t="e">
        <f aca="false">IF(C28&gt;=6,"ELIGIBLE","NOT ELIGIBLE")</f>
        <v>#NAME?</v>
      </c>
      <c r="I28" s="151" t="e">
        <f aca="false">IF(AND(G28&gt;=85,H28="ELIGIBLE"), "ELIGIBLE", "NOT ELIGIBLE")</f>
        <v>#NAME?</v>
      </c>
    </row>
    <row r="29" customFormat="false" ht="22.5" hidden="false" customHeight="true" outlineLevel="0" collapsed="false">
      <c r="A29" s="66" t="s">
        <v>108</v>
      </c>
      <c r="B29" s="99" t="e">
        <f aca="false">_xlfn.xlookup(A29,[1]sheet2!f:f,[1]sheet2!i:i)</f>
        <v>#NAME?</v>
      </c>
      <c r="C29" s="142" t="e">
        <f aca="false">(DATE(2026,3,31)-B29)/30</f>
        <v>#NAME?</v>
      </c>
      <c r="D29" s="143" t="e">
        <f aca="false">_xlfn.xlookup(A29,[1]sheet1!a:a,[1]sheet1!i:i,0)</f>
        <v>#NAME?</v>
      </c>
      <c r="E29" s="144" t="e">
        <f aca="false">_xlfn.xlookup(A29,[2]sheet3!$a:$a,[2]sheet3!$c:$c, 0)</f>
        <v>#NAME?</v>
      </c>
      <c r="F29" s="144" t="e">
        <f aca="false">_xlfn.xlookup(A29,[2]sheet3!$a:$a,[2]sheet3!$c:$c,0)</f>
        <v>#NAME?</v>
      </c>
      <c r="G29" s="144" t="e">
        <f aca="false">(D29+E29+F29)/3</f>
        <v>#NAME?</v>
      </c>
      <c r="H29" s="145" t="e">
        <f aca="false">IF(C29&gt;=6,"ELIGIBLE","NOT ELIGIBLE")</f>
        <v>#NAME?</v>
      </c>
      <c r="I29" s="146" t="e">
        <f aca="false">IF(AND(G29&gt;=85,H29="ELIGIBLE"), "ELIGIBLE", "NOT ELIGIBLE")</f>
        <v>#NAME?</v>
      </c>
    </row>
    <row r="30" customFormat="false" ht="22.5" hidden="false" customHeight="true" outlineLevel="0" collapsed="false">
      <c r="A30" s="44" t="s">
        <v>110</v>
      </c>
      <c r="B30" s="116" t="e">
        <f aca="false">_xlfn.xlookup(A30,[1]sheet2!f:f,[1]sheet2!i:i)</f>
        <v>#NAME?</v>
      </c>
      <c r="C30" s="147" t="e">
        <f aca="false">(DATE(2026,3,31)-B30)/30</f>
        <v>#NAME?</v>
      </c>
      <c r="D30" s="148" t="e">
        <f aca="false">_xlfn.xlookup(A30,[1]sheet1!a:a,[1]sheet1!i:i,0)</f>
        <v>#NAME?</v>
      </c>
      <c r="E30" s="149" t="e">
        <f aca="false">_xlfn.xlookup(A30,[2]sheet3!$a:$a,[2]sheet3!$c:$c, 0)</f>
        <v>#NAME?</v>
      </c>
      <c r="F30" s="149" t="e">
        <f aca="false">_xlfn.xlookup(A30,[2]sheet3!$a:$a,[2]sheet3!$c:$c,0)</f>
        <v>#NAME?</v>
      </c>
      <c r="G30" s="149" t="e">
        <f aca="false">(D30+E30+F30)/3</f>
        <v>#NAME?</v>
      </c>
      <c r="H30" s="150" t="e">
        <f aca="false">IF(C30&gt;=6,"ELIGIBLE","NOT ELIGIBLE")</f>
        <v>#NAME?</v>
      </c>
      <c r="I30" s="151" t="e">
        <f aca="false">IF(AND(G30&gt;=85,H30="ELIGIBLE"), "ELIGIBLE", "NOT ELIGIBLE")</f>
        <v>#NAME?</v>
      </c>
    </row>
    <row r="31" customFormat="false" ht="22.5" hidden="false" customHeight="true" outlineLevel="0" collapsed="false">
      <c r="A31" s="66" t="s">
        <v>112</v>
      </c>
      <c r="B31" s="99" t="e">
        <f aca="false">_xlfn.xlookup(A31,[1]sheet2!f:f,[1]sheet2!i:i)</f>
        <v>#NAME?</v>
      </c>
      <c r="C31" s="142" t="e">
        <f aca="false">(DATE(2026,3,31)-B31)/30</f>
        <v>#NAME?</v>
      </c>
      <c r="D31" s="143" t="e">
        <f aca="false">_xlfn.xlookup(A31,[1]sheet1!a:a,[1]sheet1!i:i,0)</f>
        <v>#NAME?</v>
      </c>
      <c r="E31" s="144" t="e">
        <f aca="false">_xlfn.xlookup(A31,[2]sheet3!$a:$a,[2]sheet3!$c:$c, 0)</f>
        <v>#NAME?</v>
      </c>
      <c r="F31" s="144" t="e">
        <f aca="false">_xlfn.xlookup(A31,[2]sheet3!$a:$a,[2]sheet3!$c:$c,0)</f>
        <v>#NAME?</v>
      </c>
      <c r="G31" s="144" t="e">
        <f aca="false">(D31+E31+F31)/3</f>
        <v>#NAME?</v>
      </c>
      <c r="H31" s="145" t="e">
        <f aca="false">IF(C31&gt;=6,"ELIGIBLE","NOT ELIGIBLE")</f>
        <v>#NAME?</v>
      </c>
      <c r="I31" s="146" t="e">
        <f aca="false">IF(AND(G31&gt;=85,H31="ELIGIBLE"), "ELIGIBLE", "NOT ELIGIBLE")</f>
        <v>#NAME?</v>
      </c>
    </row>
    <row r="32" customFormat="false" ht="22.5" hidden="false" customHeight="true" outlineLevel="0" collapsed="false">
      <c r="A32" s="44" t="s">
        <v>114</v>
      </c>
      <c r="B32" s="116" t="e">
        <f aca="false">_xlfn.xlookup(A32,[1]sheet2!f:f,[1]sheet2!i:i)</f>
        <v>#NAME?</v>
      </c>
      <c r="C32" s="147" t="e">
        <f aca="false">(DATE(2026,3,31)-B32)/30</f>
        <v>#NAME?</v>
      </c>
      <c r="D32" s="148" t="e">
        <f aca="false">_xlfn.xlookup(A32,[1]sheet1!a:a,[1]sheet1!i:i,0)</f>
        <v>#NAME?</v>
      </c>
      <c r="E32" s="149" t="e">
        <f aca="false">_xlfn.xlookup(A32,[2]sheet3!$a:$a,[2]sheet3!$c:$c, 0)</f>
        <v>#NAME?</v>
      </c>
      <c r="F32" s="149" t="e">
        <f aca="false">_xlfn.xlookup(A32,[2]sheet3!$a:$a,[2]sheet3!$c:$c,0)</f>
        <v>#NAME?</v>
      </c>
      <c r="G32" s="149" t="e">
        <f aca="false">(D32+E32+F32)/3</f>
        <v>#NAME?</v>
      </c>
      <c r="H32" s="150" t="e">
        <f aca="false">IF(C32&gt;=6,"ELIGIBLE","NOT ELIGIBLE")</f>
        <v>#NAME?</v>
      </c>
      <c r="I32" s="151" t="e">
        <f aca="false">IF(AND(G32&gt;=85,H32="ELIGIBLE"), "ELIGIBLE", "NOT ELIGIBLE")</f>
        <v>#NAME?</v>
      </c>
    </row>
    <row r="33" customFormat="false" ht="22.5" hidden="false" customHeight="true" outlineLevel="0" collapsed="false">
      <c r="A33" s="66" t="s">
        <v>116</v>
      </c>
      <c r="B33" s="99" t="e">
        <f aca="false">_xlfn.xlookup(A33,[1]sheet2!f:f,[1]sheet2!i:i)</f>
        <v>#NAME?</v>
      </c>
      <c r="C33" s="142" t="e">
        <f aca="false">(DATE(2026,3,31)-B33)/30</f>
        <v>#NAME?</v>
      </c>
      <c r="D33" s="143" t="e">
        <f aca="false">_xlfn.xlookup(A33,[1]sheet1!a:a,[1]sheet1!i:i,0)</f>
        <v>#NAME?</v>
      </c>
      <c r="E33" s="144" t="e">
        <f aca="false">_xlfn.xlookup(A33,[2]sheet3!$a:$a,[2]sheet3!$c:$c, 0)</f>
        <v>#NAME?</v>
      </c>
      <c r="F33" s="144" t="e">
        <f aca="false">_xlfn.xlookup(A33,[2]sheet3!$a:$a,[2]sheet3!$c:$c,0)</f>
        <v>#NAME?</v>
      </c>
      <c r="G33" s="144" t="e">
        <f aca="false">(D33+E33+F33)/3</f>
        <v>#NAME?</v>
      </c>
      <c r="H33" s="145" t="e">
        <f aca="false">IF(C33&gt;=6,"ELIGIBLE","NOT ELIGIBLE")</f>
        <v>#NAME?</v>
      </c>
      <c r="I33" s="146" t="e">
        <f aca="false">IF(AND(G33&gt;=85,H33="ELIGIBLE"), "ELIGIBLE", "NOT ELIGIBLE")</f>
        <v>#NAME?</v>
      </c>
    </row>
    <row r="34" customFormat="false" ht="22.5" hidden="false" customHeight="true" outlineLevel="0" collapsed="false">
      <c r="A34" s="44" t="s">
        <v>118</v>
      </c>
      <c r="B34" s="116" t="e">
        <f aca="false">_xlfn.xlookup(A34,[1]sheet2!f:f,[1]sheet2!i:i)</f>
        <v>#NAME?</v>
      </c>
      <c r="C34" s="147" t="e">
        <f aca="false">(DATE(2026,3,31)-B34)/30</f>
        <v>#NAME?</v>
      </c>
      <c r="D34" s="148" t="e">
        <f aca="false">_xlfn.xlookup(A34,[1]sheet1!a:a,[1]sheet1!i:i,0)</f>
        <v>#NAME?</v>
      </c>
      <c r="E34" s="149" t="e">
        <f aca="false">_xlfn.xlookup(A34,[2]sheet3!$a:$a,[2]sheet3!$c:$c, 0)</f>
        <v>#NAME?</v>
      </c>
      <c r="F34" s="149" t="e">
        <f aca="false">_xlfn.xlookup(A34,[2]sheet3!$a:$a,[2]sheet3!$c:$c,0)</f>
        <v>#NAME?</v>
      </c>
      <c r="G34" s="149" t="e">
        <f aca="false">(D34+E34+F34)/3</f>
        <v>#NAME?</v>
      </c>
      <c r="H34" s="150" t="e">
        <f aca="false">IF(C34&gt;=6,"ELIGIBLE","NOT ELIGIBLE")</f>
        <v>#NAME?</v>
      </c>
      <c r="I34" s="151" t="e">
        <f aca="false">IF(AND(G34&gt;=85,H34="ELIGIBLE"), "ELIGIBLE", "NOT ELIGIBLE")</f>
        <v>#NAME?</v>
      </c>
    </row>
    <row r="35" customFormat="false" ht="22.5" hidden="false" customHeight="true" outlineLevel="0" collapsed="false">
      <c r="A35" s="66" t="s">
        <v>120</v>
      </c>
      <c r="B35" s="99" t="e">
        <f aca="false">_xlfn.xlookup(A35,[1]sheet2!f:f,[1]sheet2!i:i)</f>
        <v>#NAME?</v>
      </c>
      <c r="C35" s="142" t="e">
        <f aca="false">(DATE(2026,3,31)-B35)/30</f>
        <v>#NAME?</v>
      </c>
      <c r="D35" s="143" t="e">
        <f aca="false">_xlfn.xlookup(A35,[1]sheet1!a:a,[1]sheet1!i:i,0)</f>
        <v>#NAME?</v>
      </c>
      <c r="E35" s="144" t="e">
        <f aca="false">_xlfn.xlookup(A35,[2]sheet3!$a:$a,[2]sheet3!$c:$c, 0)</f>
        <v>#NAME?</v>
      </c>
      <c r="F35" s="144" t="e">
        <f aca="false">_xlfn.xlookup(A35,[2]sheet3!$a:$a,[2]sheet3!$c:$c,0)</f>
        <v>#NAME?</v>
      </c>
      <c r="G35" s="144" t="e">
        <f aca="false">(D35+E35+F35)/3</f>
        <v>#NAME?</v>
      </c>
      <c r="H35" s="145" t="e">
        <f aca="false">IF(C35&gt;=6,"ELIGIBLE","NOT ELIGIBLE")</f>
        <v>#NAME?</v>
      </c>
      <c r="I35" s="146" t="e">
        <f aca="false">IF(AND(G35&gt;=85,H35="ELIGIBLE"), "ELIGIBLE", "NOT ELIGIBLE")</f>
        <v>#NAME?</v>
      </c>
    </row>
    <row r="36" customFormat="false" ht="22.5" hidden="false" customHeight="true" outlineLevel="0" collapsed="false">
      <c r="A36" s="44" t="s">
        <v>122</v>
      </c>
      <c r="B36" s="116" t="e">
        <f aca="false">_xlfn.xlookup(A36,[1]sheet2!f:f,[1]sheet2!i:i)</f>
        <v>#NAME?</v>
      </c>
      <c r="C36" s="147" t="e">
        <f aca="false">(DATE(2026,3,31)-B36)/30</f>
        <v>#NAME?</v>
      </c>
      <c r="D36" s="148" t="e">
        <f aca="false">_xlfn.xlookup(A36,[1]sheet1!a:a,[1]sheet1!i:i,0)</f>
        <v>#NAME?</v>
      </c>
      <c r="E36" s="149" t="e">
        <f aca="false">_xlfn.xlookup(A36,[2]sheet3!$a:$a,[2]sheet3!$c:$c, 0)</f>
        <v>#NAME?</v>
      </c>
      <c r="F36" s="149" t="e">
        <f aca="false">_xlfn.xlookup(A36,[2]sheet3!$a:$a,[2]sheet3!$c:$c,0)</f>
        <v>#NAME?</v>
      </c>
      <c r="G36" s="149" t="e">
        <f aca="false">(D36+E36+F36)/3</f>
        <v>#NAME?</v>
      </c>
      <c r="H36" s="150" t="e">
        <f aca="false">IF(C36&gt;=6,"ELIGIBLE","NOT ELIGIBLE")</f>
        <v>#NAME?</v>
      </c>
      <c r="I36" s="151" t="e">
        <f aca="false">IF(AND(G36&gt;=85,H36="ELIGIBLE"), "ELIGIBLE", "NOT ELIGIBLE")</f>
        <v>#NAME?</v>
      </c>
    </row>
    <row r="37" customFormat="false" ht="22.5" hidden="false" customHeight="true" outlineLevel="0" collapsed="false">
      <c r="A37" s="66" t="s">
        <v>124</v>
      </c>
      <c r="B37" s="99" t="e">
        <f aca="false">_xlfn.xlookup(A37,[1]sheet2!f:f,[1]sheet2!i:i)</f>
        <v>#NAME?</v>
      </c>
      <c r="C37" s="142" t="e">
        <f aca="false">(DATE(2026,3,31)-B37)/30</f>
        <v>#NAME?</v>
      </c>
      <c r="D37" s="143" t="e">
        <f aca="false">_xlfn.xlookup(A37,[1]sheet1!a:a,[1]sheet1!i:i,0)</f>
        <v>#NAME?</v>
      </c>
      <c r="E37" s="144" t="e">
        <f aca="false">_xlfn.xlookup(A37,[2]sheet3!$a:$a,[2]sheet3!$c:$c, 0)</f>
        <v>#NAME?</v>
      </c>
      <c r="F37" s="144" t="e">
        <f aca="false">_xlfn.xlookup(A37,[2]sheet3!$a:$a,[2]sheet3!$c:$c,0)</f>
        <v>#NAME?</v>
      </c>
      <c r="G37" s="144" t="e">
        <f aca="false">(D37+E37+F37)/3</f>
        <v>#NAME?</v>
      </c>
      <c r="H37" s="145" t="e">
        <f aca="false">IF(C37&gt;=6,"ELIGIBLE","NOT ELIGIBLE")</f>
        <v>#NAME?</v>
      </c>
      <c r="I37" s="146" t="e">
        <f aca="false">IF(AND(G37&gt;=85,H37="ELIGIBLE"), "ELIGIBLE", "NOT ELIGIBLE")</f>
        <v>#NAME?</v>
      </c>
    </row>
    <row r="38" customFormat="false" ht="22.5" hidden="false" customHeight="true" outlineLevel="0" collapsed="false">
      <c r="A38" s="44" t="s">
        <v>126</v>
      </c>
      <c r="B38" s="116" t="e">
        <f aca="false">_xlfn.xlookup(A38,[1]sheet2!f:f,[1]sheet2!i:i)</f>
        <v>#NAME?</v>
      </c>
      <c r="C38" s="147" t="e">
        <f aca="false">(DATE(2026,3,31)-B38)/30</f>
        <v>#NAME?</v>
      </c>
      <c r="D38" s="148" t="e">
        <f aca="false">_xlfn.xlookup(A38,[1]sheet1!a:a,[1]sheet1!i:i,0)</f>
        <v>#NAME?</v>
      </c>
      <c r="E38" s="149" t="e">
        <f aca="false">_xlfn.xlookup(A38,[2]sheet3!$a:$a,[2]sheet3!$c:$c, 0)</f>
        <v>#NAME?</v>
      </c>
      <c r="F38" s="149" t="e">
        <f aca="false">_xlfn.xlookup(A38,[2]sheet3!$a:$a,[2]sheet3!$c:$c,0)</f>
        <v>#NAME?</v>
      </c>
      <c r="G38" s="149" t="e">
        <f aca="false">(D38+E38+F38)/3</f>
        <v>#NAME?</v>
      </c>
      <c r="H38" s="150" t="e">
        <f aca="false">IF(C38&gt;=6,"ELIGIBLE","NOT ELIGIBLE")</f>
        <v>#NAME?</v>
      </c>
      <c r="I38" s="151" t="e">
        <f aca="false">IF(AND(G38&gt;=85,H38="ELIGIBLE"), "ELIGIBLE", "NOT ELIGIBLE")</f>
        <v>#NAME?</v>
      </c>
    </row>
    <row r="39" customFormat="false" ht="22.5" hidden="false" customHeight="true" outlineLevel="0" collapsed="false">
      <c r="A39" s="66" t="s">
        <v>128</v>
      </c>
      <c r="B39" s="99" t="e">
        <f aca="false">_xlfn.xlookup(A39,[1]sheet2!f:f,[1]sheet2!i:i)</f>
        <v>#NAME?</v>
      </c>
      <c r="C39" s="142" t="e">
        <f aca="false">(DATE(2026,3,31)-B39)/30</f>
        <v>#NAME?</v>
      </c>
      <c r="D39" s="143" t="e">
        <f aca="false">_xlfn.xlookup(A39,[1]sheet1!a:a,[1]sheet1!i:i,0)</f>
        <v>#NAME?</v>
      </c>
      <c r="E39" s="144" t="e">
        <f aca="false">_xlfn.xlookup(A39,[2]sheet3!$a:$a,[2]sheet3!$c:$c, 0)</f>
        <v>#NAME?</v>
      </c>
      <c r="F39" s="144" t="e">
        <f aca="false">_xlfn.xlookup(A39,[2]sheet3!$a:$a,[2]sheet3!$c:$c,0)</f>
        <v>#NAME?</v>
      </c>
      <c r="G39" s="144" t="e">
        <f aca="false">(D39+E39+F39)/3</f>
        <v>#NAME?</v>
      </c>
      <c r="H39" s="145" t="e">
        <f aca="false">IF(C39&gt;=6,"ELIGIBLE","NOT ELIGIBLE")</f>
        <v>#NAME?</v>
      </c>
      <c r="I39" s="146" t="e">
        <f aca="false">IF(AND(G39&gt;=85,H39="ELIGIBLE"), "ELIGIBLE", "NOT ELIGIBLE")</f>
        <v>#NAME?</v>
      </c>
    </row>
    <row r="40" customFormat="false" ht="22.5" hidden="false" customHeight="true" outlineLevel="0" collapsed="false">
      <c r="A40" s="44" t="s">
        <v>130</v>
      </c>
      <c r="B40" s="116" t="e">
        <f aca="false">_xlfn.xlookup(A40,[1]sheet2!f:f,[1]sheet2!i:i)</f>
        <v>#NAME?</v>
      </c>
      <c r="C40" s="147" t="e">
        <f aca="false">(DATE(2026,3,31)-B40)/30</f>
        <v>#NAME?</v>
      </c>
      <c r="D40" s="148" t="e">
        <f aca="false">_xlfn.xlookup(A40,[1]sheet1!a:a,[1]sheet1!i:i,0)</f>
        <v>#NAME?</v>
      </c>
      <c r="E40" s="149" t="e">
        <f aca="false">_xlfn.xlookup(A40,[2]sheet3!$a:$a,[2]sheet3!$c:$c, 0)</f>
        <v>#NAME?</v>
      </c>
      <c r="F40" s="149" t="e">
        <f aca="false">_xlfn.xlookup(A40,[2]sheet3!$a:$a,[2]sheet3!$c:$c,0)</f>
        <v>#NAME?</v>
      </c>
      <c r="G40" s="149" t="e">
        <f aca="false">(D40+E40+F40)/3</f>
        <v>#NAME?</v>
      </c>
      <c r="H40" s="150" t="e">
        <f aca="false">IF(C40&gt;=6,"ELIGIBLE","NOT ELIGIBLE")</f>
        <v>#NAME?</v>
      </c>
      <c r="I40" s="151" t="e">
        <f aca="false">IF(AND(G40&gt;=85,H40="ELIGIBLE"), "ELIGIBLE", "NOT ELIGIBLE")</f>
        <v>#NAME?</v>
      </c>
    </row>
    <row r="41" customFormat="false" ht="22.5" hidden="false" customHeight="true" outlineLevel="0" collapsed="false">
      <c r="A41" s="66" t="s">
        <v>132</v>
      </c>
      <c r="B41" s="99" t="e">
        <f aca="false">_xlfn.xlookup(A41,[1]sheet2!f:f,[1]sheet2!i:i)</f>
        <v>#NAME?</v>
      </c>
      <c r="C41" s="142" t="e">
        <f aca="false">(DATE(2026,3,31)-B41)/30</f>
        <v>#NAME?</v>
      </c>
      <c r="D41" s="143" t="e">
        <f aca="false">_xlfn.xlookup(A41,[1]sheet1!a:a,[1]sheet1!i:i,0)</f>
        <v>#NAME?</v>
      </c>
      <c r="E41" s="144" t="e">
        <f aca="false">_xlfn.xlookup(A41,[2]sheet3!$a:$a,[2]sheet3!$c:$c, 0)</f>
        <v>#NAME?</v>
      </c>
      <c r="F41" s="144" t="e">
        <f aca="false">_xlfn.xlookup(A41,[2]sheet3!$a:$a,[2]sheet3!$c:$c,0)</f>
        <v>#NAME?</v>
      </c>
      <c r="G41" s="144" t="e">
        <f aca="false">(D41+E41+F41)/3</f>
        <v>#NAME?</v>
      </c>
      <c r="H41" s="145" t="e">
        <f aca="false">IF(C41&gt;=6,"ELIGIBLE","NOT ELIGIBLE")</f>
        <v>#NAME?</v>
      </c>
      <c r="I41" s="146" t="e">
        <f aca="false">IF(AND(G41&gt;=85,H41="ELIGIBLE"), "ELIGIBLE", "NOT ELIGIBLE")</f>
        <v>#NAME?</v>
      </c>
    </row>
    <row r="42" customFormat="false" ht="22.5" hidden="false" customHeight="true" outlineLevel="0" collapsed="false">
      <c r="A42" s="44" t="s">
        <v>134</v>
      </c>
      <c r="B42" s="116" t="e">
        <f aca="false">_xlfn.xlookup(A42,[1]sheet2!f:f,[1]sheet2!i:i)</f>
        <v>#NAME?</v>
      </c>
      <c r="C42" s="147" t="e">
        <f aca="false">(DATE(2026,3,31)-B42)/30</f>
        <v>#NAME?</v>
      </c>
      <c r="D42" s="148" t="e">
        <f aca="false">_xlfn.xlookup(A42,[1]sheet1!a:a,[1]sheet1!i:i,0)</f>
        <v>#NAME?</v>
      </c>
      <c r="E42" s="149" t="e">
        <f aca="false">_xlfn.xlookup(A42,[2]sheet3!$a:$a,[2]sheet3!$c:$c, 0)</f>
        <v>#NAME?</v>
      </c>
      <c r="F42" s="149" t="e">
        <f aca="false">_xlfn.xlookup(A42,[2]sheet3!$a:$a,[2]sheet3!$c:$c,0)</f>
        <v>#NAME?</v>
      </c>
      <c r="G42" s="149" t="e">
        <f aca="false">(D42+E42+F42)/3</f>
        <v>#NAME?</v>
      </c>
      <c r="H42" s="150" t="e">
        <f aca="false">IF(C42&gt;=6,"ELIGIBLE","NOT ELIGIBLE")</f>
        <v>#NAME?</v>
      </c>
      <c r="I42" s="151" t="e">
        <f aca="false">IF(AND(G42&gt;=85,H42="ELIGIBLE"), "ELIGIBLE", "NOT ELIGIBLE")</f>
        <v>#NAME?</v>
      </c>
    </row>
    <row r="43" customFormat="false" ht="22.5" hidden="false" customHeight="true" outlineLevel="0" collapsed="false">
      <c r="A43" s="66" t="s">
        <v>136</v>
      </c>
      <c r="B43" s="99" t="e">
        <f aca="false">_xlfn.xlookup(A43,[1]sheet2!f:f,[1]sheet2!i:i)</f>
        <v>#NAME?</v>
      </c>
      <c r="C43" s="142" t="e">
        <f aca="false">(DATE(2026,3,31)-B43)/30</f>
        <v>#NAME?</v>
      </c>
      <c r="D43" s="143" t="e">
        <f aca="false">_xlfn.xlookup(A43,[1]sheet1!a:a,[1]sheet1!i:i,0)</f>
        <v>#NAME?</v>
      </c>
      <c r="E43" s="144" t="e">
        <f aca="false">_xlfn.xlookup(A43,[2]sheet3!$a:$a,[2]sheet3!$c:$c, 0)</f>
        <v>#NAME?</v>
      </c>
      <c r="F43" s="144" t="e">
        <f aca="false">_xlfn.xlookup(A43,[2]sheet3!$a:$a,[2]sheet3!$c:$c,0)</f>
        <v>#NAME?</v>
      </c>
      <c r="G43" s="144" t="e">
        <f aca="false">(D43+E43+F43)/3</f>
        <v>#NAME?</v>
      </c>
      <c r="H43" s="145" t="e">
        <f aca="false">IF(C43&gt;=6,"ELIGIBLE","NOT ELIGIBLE")</f>
        <v>#NAME?</v>
      </c>
      <c r="I43" s="146" t="e">
        <f aca="false">IF(AND(G43&gt;=85,H43="ELIGIBLE"), "ELIGIBLE", "NOT ELIGIBLE")</f>
        <v>#NAME?</v>
      </c>
    </row>
    <row r="44" customFormat="false" ht="22.5" hidden="false" customHeight="true" outlineLevel="0" collapsed="false">
      <c r="A44" s="44" t="s">
        <v>138</v>
      </c>
      <c r="B44" s="116" t="e">
        <f aca="false">_xlfn.xlookup(A44,[1]sheet2!f:f,[1]sheet2!i:i)</f>
        <v>#NAME?</v>
      </c>
      <c r="C44" s="147" t="e">
        <f aca="false">(DATE(2026,3,31)-B44)/30</f>
        <v>#NAME?</v>
      </c>
      <c r="D44" s="148" t="e">
        <f aca="false">_xlfn.xlookup(A44,[1]sheet1!a:a,[1]sheet1!i:i,0)</f>
        <v>#NAME?</v>
      </c>
      <c r="E44" s="149" t="e">
        <f aca="false">_xlfn.xlookup(A44,[2]sheet3!$a:$a,[2]sheet3!$c:$c, 0)</f>
        <v>#NAME?</v>
      </c>
      <c r="F44" s="149" t="e">
        <f aca="false">_xlfn.xlookup(A44,[2]sheet3!$a:$a,[2]sheet3!$c:$c,0)</f>
        <v>#NAME?</v>
      </c>
      <c r="G44" s="149" t="e">
        <f aca="false">(D44+E44+F44)/3</f>
        <v>#NAME?</v>
      </c>
      <c r="H44" s="150" t="e">
        <f aca="false">IF(C44&gt;=6,"ELIGIBLE","NOT ELIGIBLE")</f>
        <v>#NAME?</v>
      </c>
      <c r="I44" s="151" t="e">
        <f aca="false">IF(AND(G44&gt;=85,H44="ELIGIBLE"), "ELIGIBLE", "NOT ELIGIBLE")</f>
        <v>#NAME?</v>
      </c>
    </row>
    <row r="45" customFormat="false" ht="22.5" hidden="false" customHeight="true" outlineLevel="0" collapsed="false">
      <c r="A45" s="66" t="s">
        <v>140</v>
      </c>
      <c r="B45" s="99" t="e">
        <f aca="false">_xlfn.xlookup(A45,[1]sheet2!f:f,[1]sheet2!i:i)</f>
        <v>#NAME?</v>
      </c>
      <c r="C45" s="142" t="e">
        <f aca="false">(DATE(2026,3,31)-B45)/30</f>
        <v>#NAME?</v>
      </c>
      <c r="D45" s="143" t="e">
        <f aca="false">_xlfn.xlookup(A45,[1]sheet1!a:a,[1]sheet1!i:i,0)</f>
        <v>#NAME?</v>
      </c>
      <c r="E45" s="144" t="e">
        <f aca="false">_xlfn.xlookup(A45,[2]sheet3!$a:$a,[2]sheet3!$c:$c, 0)</f>
        <v>#NAME?</v>
      </c>
      <c r="F45" s="144" t="e">
        <f aca="false">_xlfn.xlookup(A45,[2]sheet3!$a:$a,[2]sheet3!$c:$c,0)</f>
        <v>#NAME?</v>
      </c>
      <c r="G45" s="144" t="e">
        <f aca="false">(D45+E45+F45)/3</f>
        <v>#NAME?</v>
      </c>
      <c r="H45" s="145" t="e">
        <f aca="false">IF(C45&gt;=6,"ELIGIBLE","NOT ELIGIBLE")</f>
        <v>#NAME?</v>
      </c>
      <c r="I45" s="146" t="e">
        <f aca="false">IF(AND(G45&gt;=85,H45="ELIGIBLE"), "ELIGIBLE", "NOT ELIGIBLE")</f>
        <v>#NAME?</v>
      </c>
    </row>
    <row r="46" customFormat="false" ht="22.5" hidden="false" customHeight="true" outlineLevel="0" collapsed="false">
      <c r="A46" s="44" t="s">
        <v>142</v>
      </c>
      <c r="B46" s="116" t="e">
        <f aca="false">_xlfn.xlookup(A46,[1]sheet2!f:f,[1]sheet2!i:i)</f>
        <v>#NAME?</v>
      </c>
      <c r="C46" s="147" t="e">
        <f aca="false">(DATE(2026,3,31)-B46)/30</f>
        <v>#NAME?</v>
      </c>
      <c r="D46" s="148" t="e">
        <f aca="false">_xlfn.xlookup(A46,[1]sheet1!a:a,[1]sheet1!i:i,0)</f>
        <v>#NAME?</v>
      </c>
      <c r="E46" s="149" t="e">
        <f aca="false">_xlfn.xlookup(A46,[2]sheet3!$a:$a,[2]sheet3!$c:$c, 0)</f>
        <v>#NAME?</v>
      </c>
      <c r="F46" s="149" t="e">
        <f aca="false">_xlfn.xlookup(A46,[2]sheet3!$a:$a,[2]sheet3!$c:$c,0)</f>
        <v>#NAME?</v>
      </c>
      <c r="G46" s="149" t="e">
        <f aca="false">(D46+E46+F46)/3</f>
        <v>#NAME?</v>
      </c>
      <c r="H46" s="150" t="e">
        <f aca="false">IF(C46&gt;=6,"ELIGIBLE","NOT ELIGIBLE")</f>
        <v>#NAME?</v>
      </c>
      <c r="I46" s="151" t="e">
        <f aca="false">IF(AND(G46&gt;=85,H46="ELIGIBLE"), "ELIGIBLE", "NOT ELIGIBLE")</f>
        <v>#NAME?</v>
      </c>
    </row>
  </sheetData>
  <autoFilter ref="A2:I2"/>
  <mergeCells count="3">
    <mergeCell ref="A1:B1"/>
    <mergeCell ref="D1:G1"/>
    <mergeCell ref="H1:I1"/>
  </mergeCells>
  <conditionalFormatting sqref="H3:H46">
    <cfRule type="cellIs" priority="2" operator="equal" aboveAverage="0" equalAverage="0" bottom="0" percent="0" rank="0" text="" dxfId="8">
      <formula>"ELIGIBLE"</formula>
    </cfRule>
    <cfRule type="cellIs" priority="3" operator="equal" aboveAverage="0" equalAverage="0" bottom="0" percent="0" rank="0" text="" dxfId="9">
      <formula>"NOT ELIGIBLE"</formula>
    </cfRule>
  </conditionalFormatting>
  <conditionalFormatting sqref="I3:I46">
    <cfRule type="cellIs" priority="4" operator="equal" aboveAverage="0" equalAverage="0" bottom="0" percent="0" rank="0" text="" dxfId="8">
      <formula>"ELIGIBLE"</formula>
    </cfRule>
    <cfRule type="cellIs" priority="5" operator="equal" aboveAverage="0" equalAverage="0" bottom="0" percent="0" rank="0" text="" dxfId="9">
      <formula>"NOT ELIGIBLE"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2026-05-23T07:30:12Z</dcterms:created>
  <dc:creator>openpyxl</dc:creator>
  <dc:description/>
  <dc:language>en-US</dc:language>
  <cp:lastModifiedBy>Akhil Rajan</cp:lastModifiedBy>
  <dcterms:modified xsi:type="dcterms:W3CDTF">2026-05-23T14:13:33Z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